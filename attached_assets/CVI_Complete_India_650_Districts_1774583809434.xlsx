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VI - All Districts" sheetId="1" state="visible" r:id="rId3"/>
    <sheet name="State Summary" sheetId="2" state="visible" r:id="rId4"/>
    <sheet name="Statistics" sheetId="3" state="visible" r:id="rId5"/>
    <sheet name="Formulas &amp; Methodology" sheetId="4" state="visible" r:id="rId6"/>
  </sheets>
  <definedNames>
    <definedName function="false" hidden="true" localSheetId="0" name="_xlnm._FilterDatabase" vbProcedure="false">'CVI - All Districts'!$A$4:$L$654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<sst xmlns="http://schemas.openxmlformats.org/spreadsheetml/2006/main" count="4080" uniqueCount="824">
  <si>
    <t xml:space="preserve">CEEW Climate Vulnerability Index — Complete India (650 Districts)</t>
  </si>
  <si>
    <t xml:space="preserve">V = (Exposure × Sensitivity) / Adaptive Capacity  →  Normalized to 0–1 via Min-Max scaling  |  Source: Mohanty &amp; Wadhawan, CEEW (2021)</t>
  </si>
  <si>
    <t xml:space="preserve">S.No.</t>
  </si>
  <si>
    <t xml:space="preserve">CEEW Rank</t>
  </si>
  <si>
    <t xml:space="preserve">District</t>
  </si>
  <si>
    <t xml:space="preserve">State</t>
  </si>
  <si>
    <t xml:space="preserve">Zone</t>
  </si>
  <si>
    <t xml:space="preserve">Primary Event</t>
  </si>
  <si>
    <t xml:space="preserve">Exposure (E)</t>
  </si>
  <si>
    <t xml:space="preserve">Sensitivity (S)</t>
  </si>
  <si>
    <t xml:space="preserve">Adaptive Capacity (AC)</t>
  </si>
  <si>
    <t xml:space="preserve">Raw VI = (E×S)/AC</t>
  </si>
  <si>
    <t xml:space="preserve">Normalized VI (0–1)</t>
  </si>
  <si>
    <t xml:space="preserve">Vulnerability Category</t>
  </si>
  <si>
    <t xml:space="preserve">Dhemaji</t>
  </si>
  <si>
    <t xml:space="preserve">Assam</t>
  </si>
  <si>
    <t xml:space="preserve">North-East</t>
  </si>
  <si>
    <t xml:space="preserve">Flood</t>
  </si>
  <si>
    <t xml:space="preserve">Gajapati</t>
  </si>
  <si>
    <t xml:space="preserve">Odisha</t>
  </si>
  <si>
    <t xml:space="preserve">East</t>
  </si>
  <si>
    <t xml:space="preserve">Flood &amp; Cyclone</t>
  </si>
  <si>
    <t xml:space="preserve">Khamman</t>
  </si>
  <si>
    <t xml:space="preserve">Telangana</t>
  </si>
  <si>
    <t xml:space="preserve">South</t>
  </si>
  <si>
    <t xml:space="preserve">Flood &amp; Drought</t>
  </si>
  <si>
    <t xml:space="preserve">Nagaon</t>
  </si>
  <si>
    <t xml:space="preserve">Flood, Drought &amp; Cyclone</t>
  </si>
  <si>
    <t xml:space="preserve">Sangli</t>
  </si>
  <si>
    <t xml:space="preserve">Maharashtra</t>
  </si>
  <si>
    <t xml:space="preserve">West</t>
  </si>
  <si>
    <t xml:space="preserve">Drought</t>
  </si>
  <si>
    <t xml:space="preserve">Vizianagaram</t>
  </si>
  <si>
    <t xml:space="preserve">Andhra Pradesh</t>
  </si>
  <si>
    <t xml:space="preserve">Drought &amp; Cyclone</t>
  </si>
  <si>
    <t xml:space="preserve">Chennai</t>
  </si>
  <si>
    <t xml:space="preserve">Tamil Nadu</t>
  </si>
  <si>
    <t xml:space="preserve">Imphal East</t>
  </si>
  <si>
    <t xml:space="preserve">Manipur</t>
  </si>
  <si>
    <t xml:space="preserve">Madhepura</t>
  </si>
  <si>
    <t xml:space="preserve">Bihar</t>
  </si>
  <si>
    <t xml:space="preserve">Banka</t>
  </si>
  <si>
    <t xml:space="preserve">Sitamarhi</t>
  </si>
  <si>
    <t xml:space="preserve">Jaisalmer</t>
  </si>
  <si>
    <t xml:space="preserve">Rajasthan</t>
  </si>
  <si>
    <t xml:space="preserve">Pashchim Champaran</t>
  </si>
  <si>
    <t xml:space="preserve">Darbhanga</t>
  </si>
  <si>
    <t xml:space="preserve">Khagaria</t>
  </si>
  <si>
    <t xml:space="preserve">Araria</t>
  </si>
  <si>
    <t xml:space="preserve">Lakhimpur</t>
  </si>
  <si>
    <t xml:space="preserve">Jodhpur</t>
  </si>
  <si>
    <t xml:space="preserve">Jalor</t>
  </si>
  <si>
    <t xml:space="preserve">Darrang</t>
  </si>
  <si>
    <t xml:space="preserve">Mahbubnagar</t>
  </si>
  <si>
    <t xml:space="preserve">Ahmadnagar</t>
  </si>
  <si>
    <t xml:space="preserve">Dhubri</t>
  </si>
  <si>
    <t xml:space="preserve">Jagatsinghpur</t>
  </si>
  <si>
    <t xml:space="preserve">Dibrugarh</t>
  </si>
  <si>
    <t xml:space="preserve">Bijnor</t>
  </si>
  <si>
    <t xml:space="preserve">Uttar Pradesh</t>
  </si>
  <si>
    <t xml:space="preserve">North</t>
  </si>
  <si>
    <t xml:space="preserve">Khordha</t>
  </si>
  <si>
    <t xml:space="preserve">Purnia</t>
  </si>
  <si>
    <t xml:space="preserve">Solapur</t>
  </si>
  <si>
    <t xml:space="preserve">Tirunelveli</t>
  </si>
  <si>
    <t xml:space="preserve">Golaghat</t>
  </si>
  <si>
    <t xml:space="preserve">West Godavari</t>
  </si>
  <si>
    <t xml:space="preserve">Goalpara</t>
  </si>
  <si>
    <t xml:space="preserve">Dhule</t>
  </si>
  <si>
    <t xml:space="preserve">Ganjam</t>
  </si>
  <si>
    <t xml:space="preserve">Mumbai</t>
  </si>
  <si>
    <t xml:space="preserve">Karbi Anglong</t>
  </si>
  <si>
    <t xml:space="preserve">Barmer</t>
  </si>
  <si>
    <t xml:space="preserve">Yamunanagar</t>
  </si>
  <si>
    <t xml:space="preserve">Haryana</t>
  </si>
  <si>
    <t xml:space="preserve">Sonitpur</t>
  </si>
  <si>
    <t xml:space="preserve">Nayagarh</t>
  </si>
  <si>
    <t xml:space="preserve">Banswara</t>
  </si>
  <si>
    <t xml:space="preserve">Kupwara</t>
  </si>
  <si>
    <t xml:space="preserve">Jammu &amp; Kashmir</t>
  </si>
  <si>
    <t xml:space="preserve">Bongaigaon</t>
  </si>
  <si>
    <t xml:space="preserve">Buldana</t>
  </si>
  <si>
    <t xml:space="preserve">Gulbarga</t>
  </si>
  <si>
    <t xml:space="preserve">Karnataka</t>
  </si>
  <si>
    <t xml:space="preserve">Jhunjhunun</t>
  </si>
  <si>
    <t xml:space="preserve">Bijapur (CG)</t>
  </si>
  <si>
    <t xml:space="preserve">Chhattisgarh</t>
  </si>
  <si>
    <t xml:space="preserve">Central</t>
  </si>
  <si>
    <t xml:space="preserve">Bara Banki</t>
  </si>
  <si>
    <t xml:space="preserve">Barpeta</t>
  </si>
  <si>
    <t xml:space="preserve">Samastipur</t>
  </si>
  <si>
    <t xml:space="preserve">Jorhat</t>
  </si>
  <si>
    <t xml:space="preserve">Pathanamthitta</t>
  </si>
  <si>
    <t xml:space="preserve">Kerala</t>
  </si>
  <si>
    <t xml:space="preserve">Pashchim Medinipur</t>
  </si>
  <si>
    <t xml:space="preserve">West Bengal</t>
  </si>
  <si>
    <t xml:space="preserve">Pilibhit</t>
  </si>
  <si>
    <t xml:space="preserve">West Siang</t>
  </si>
  <si>
    <t xml:space="preserve">Arunachal Pradesh</t>
  </si>
  <si>
    <t xml:space="preserve">Jalaun</t>
  </si>
  <si>
    <t xml:space="preserve">Hingoli</t>
  </si>
  <si>
    <t xml:space="preserve">Jalgaon</t>
  </si>
  <si>
    <t xml:space="preserve">Guntur</t>
  </si>
  <si>
    <t xml:space="preserve">Anantapur</t>
  </si>
  <si>
    <t xml:space="preserve">Osmanabad</t>
  </si>
  <si>
    <t xml:space="preserve">Bhopal</t>
  </si>
  <si>
    <t xml:space="preserve">Madhya Pradesh</t>
  </si>
  <si>
    <t xml:space="preserve">Surendranagar</t>
  </si>
  <si>
    <t xml:space="preserve">Gujarat</t>
  </si>
  <si>
    <t xml:space="preserve">Sheohar</t>
  </si>
  <si>
    <t xml:space="preserve">Koppal</t>
  </si>
  <si>
    <t xml:space="preserve">Sidhi</t>
  </si>
  <si>
    <t xml:space="preserve">Krishna</t>
  </si>
  <si>
    <t xml:space="preserve">Puri</t>
  </si>
  <si>
    <t xml:space="preserve">Parbhani</t>
  </si>
  <si>
    <t xml:space="preserve">Agra</t>
  </si>
  <si>
    <t xml:space="preserve">Kushinagar</t>
  </si>
  <si>
    <t xml:space="preserve">Nagpur</t>
  </si>
  <si>
    <t xml:space="preserve">Nandurbar</t>
  </si>
  <si>
    <t xml:space="preserve">East Siang</t>
  </si>
  <si>
    <t xml:space="preserve">Baleshwar</t>
  </si>
  <si>
    <t xml:space="preserve">Patna</t>
  </si>
  <si>
    <t xml:space="preserve">Kendrapara</t>
  </si>
  <si>
    <t xml:space="preserve">Ahmadabad</t>
  </si>
  <si>
    <t xml:space="preserve">Karimganj</t>
  </si>
  <si>
    <t xml:space="preserve">Satara</t>
  </si>
  <si>
    <t xml:space="preserve">Sri Potti Sriramulu Nellore</t>
  </si>
  <si>
    <t xml:space="preserve">Bidar</t>
  </si>
  <si>
    <t xml:space="preserve">Chittoor</t>
  </si>
  <si>
    <t xml:space="preserve">Hardoi</t>
  </si>
  <si>
    <t xml:space="preserve">Ramanagara</t>
  </si>
  <si>
    <t xml:space="preserve">Yadgir</t>
  </si>
  <si>
    <t xml:space="preserve">Akola</t>
  </si>
  <si>
    <t xml:space="preserve">Kishanganj</t>
  </si>
  <si>
    <t xml:space="preserve">Auraiya</t>
  </si>
  <si>
    <t xml:space="preserve">Bagalkot</t>
  </si>
  <si>
    <t xml:space="preserve">Saharsa</t>
  </si>
  <si>
    <t xml:space="preserve">Muzaffarpur</t>
  </si>
  <si>
    <t xml:space="preserve">Nanded</t>
  </si>
  <si>
    <t xml:space="preserve">Vaishali</t>
  </si>
  <si>
    <t xml:space="preserve">Tinsukia</t>
  </si>
  <si>
    <t xml:space="preserve">Bid</t>
  </si>
  <si>
    <t xml:space="preserve">Thanjavur</t>
  </si>
  <si>
    <t xml:space="preserve">Cachar</t>
  </si>
  <si>
    <t xml:space="preserve">Mysore</t>
  </si>
  <si>
    <t xml:space="preserve">Churu</t>
  </si>
  <si>
    <t xml:space="preserve">Aurangabad</t>
  </si>
  <si>
    <t xml:space="preserve">Aurangabad (Bihar)</t>
  </si>
  <si>
    <t xml:space="preserve">Sivasagar</t>
  </si>
  <si>
    <t xml:space="preserve">Gopalganj</t>
  </si>
  <si>
    <t xml:space="preserve">Rohtas</t>
  </si>
  <si>
    <t xml:space="preserve">Nagappattinam</t>
  </si>
  <si>
    <t xml:space="preserve">Nagaur</t>
  </si>
  <si>
    <t xml:space="preserve">Rajouri</t>
  </si>
  <si>
    <t xml:space="preserve">Tiruppur</t>
  </si>
  <si>
    <t xml:space="preserve">Bhadrak</t>
  </si>
  <si>
    <t xml:space="preserve">North 24 Parganas</t>
  </si>
  <si>
    <t xml:space="preserve">West Tripura</t>
  </si>
  <si>
    <t xml:space="preserve">Tripura</t>
  </si>
  <si>
    <t xml:space="preserve">Thoothukkudi</t>
  </si>
  <si>
    <t xml:space="preserve">Gadag</t>
  </si>
  <si>
    <t xml:space="preserve">Kullu</t>
  </si>
  <si>
    <t xml:space="preserve">Himachal Pradesh</t>
  </si>
  <si>
    <t xml:space="preserve">Chamrajnagar</t>
  </si>
  <si>
    <t xml:space="preserve">Bhagalpur</t>
  </si>
  <si>
    <t xml:space="preserve">Cuddalore</t>
  </si>
  <si>
    <t xml:space="preserve">Kamrup</t>
  </si>
  <si>
    <t xml:space="preserve">Chitradurga</t>
  </si>
  <si>
    <t xml:space="preserve">Dharwad</t>
  </si>
  <si>
    <t xml:space="preserve">Pali</t>
  </si>
  <si>
    <t xml:space="preserve">Rajkot</t>
  </si>
  <si>
    <t xml:space="preserve">Bishnupur</t>
  </si>
  <si>
    <t xml:space="preserve">Darjiling</t>
  </si>
  <si>
    <t xml:space="preserve">Morigaon</t>
  </si>
  <si>
    <t xml:space="preserve">Hassan</t>
  </si>
  <si>
    <t xml:space="preserve">Jhansi</t>
  </si>
  <si>
    <t xml:space="preserve">Jaipur</t>
  </si>
  <si>
    <t xml:space="preserve">Ajmer</t>
  </si>
  <si>
    <t xml:space="preserve">Madhubani</t>
  </si>
  <si>
    <t xml:space="preserve">Y.s.r.</t>
  </si>
  <si>
    <t xml:space="preserve">Bulandshahr</t>
  </si>
  <si>
    <t xml:space="preserve">Ghaziabad</t>
  </si>
  <si>
    <t xml:space="preserve">Kinnaur</t>
  </si>
  <si>
    <t xml:space="preserve">Gorakhpur</t>
  </si>
  <si>
    <t xml:space="preserve">Hooghly</t>
  </si>
  <si>
    <t xml:space="preserve">Hugli</t>
  </si>
  <si>
    <t xml:space="preserve">Raichur</t>
  </si>
  <si>
    <t xml:space="preserve">Latur</t>
  </si>
  <si>
    <t xml:space="preserve">Kangra</t>
  </si>
  <si>
    <t xml:space="preserve">Pune</t>
  </si>
  <si>
    <t xml:space="preserve">Koraput</t>
  </si>
  <si>
    <t xml:space="preserve">Munger</t>
  </si>
  <si>
    <t xml:space="preserve">Saran(chhapra)</t>
  </si>
  <si>
    <t xml:space="preserve">Mandi</t>
  </si>
  <si>
    <t xml:space="preserve">Ernakulam</t>
  </si>
  <si>
    <t xml:space="preserve">Jaunpur</t>
  </si>
  <si>
    <t xml:space="preserve">Amreli</t>
  </si>
  <si>
    <t xml:space="preserve">Srinagar</t>
  </si>
  <si>
    <t xml:space="preserve">Kiphire</t>
  </si>
  <si>
    <t xml:space="preserve">Nagaland</t>
  </si>
  <si>
    <t xml:space="preserve">Nainital</t>
  </si>
  <si>
    <t xml:space="preserve">Uttarakhand</t>
  </si>
  <si>
    <t xml:space="preserve">Upper Siang</t>
  </si>
  <si>
    <t xml:space="preserve">Nalgonda</t>
  </si>
  <si>
    <t xml:space="preserve">Fatehpur</t>
  </si>
  <si>
    <t xml:space="preserve">Jalpaiguri</t>
  </si>
  <si>
    <t xml:space="preserve">Nalbari</t>
  </si>
  <si>
    <t xml:space="preserve">Bellary</t>
  </si>
  <si>
    <t xml:space="preserve">North (Sikkim)</t>
  </si>
  <si>
    <t xml:space="preserve">Sikkim</t>
  </si>
  <si>
    <t xml:space="preserve">Kollam</t>
  </si>
  <si>
    <t xml:space="preserve">South (Sikkim)</t>
  </si>
  <si>
    <t xml:space="preserve">Cuttack</t>
  </si>
  <si>
    <t xml:space="preserve">Bangalore</t>
  </si>
  <si>
    <t xml:space="preserve">Bhilwara</t>
  </si>
  <si>
    <t xml:space="preserve">Kachchh</t>
  </si>
  <si>
    <t xml:space="preserve">Virudunagar</t>
  </si>
  <si>
    <t xml:space="preserve">Amravati</t>
  </si>
  <si>
    <t xml:space="preserve">Ballia</t>
  </si>
  <si>
    <t xml:space="preserve">Tikamgarh</t>
  </si>
  <si>
    <t xml:space="preserve">Doda</t>
  </si>
  <si>
    <t xml:space="preserve">Junagadh</t>
  </si>
  <si>
    <t xml:space="preserve">Belgaum</t>
  </si>
  <si>
    <t xml:space="preserve">Banas Kantha</t>
  </si>
  <si>
    <t xml:space="preserve">Tumkur</t>
  </si>
  <si>
    <t xml:space="preserve">Jamnagar</t>
  </si>
  <si>
    <t xml:space="preserve">Etawah</t>
  </si>
  <si>
    <t xml:space="preserve">Mandya</t>
  </si>
  <si>
    <t xml:space="preserve">Visakhapatnam</t>
  </si>
  <si>
    <t xml:space="preserve">Srikakulam</t>
  </si>
  <si>
    <t xml:space="preserve">Nashik</t>
  </si>
  <si>
    <t xml:space="preserve">Bangalore Rural</t>
  </si>
  <si>
    <t xml:space="preserve">Thoubal</t>
  </si>
  <si>
    <t xml:space="preserve">Jalna</t>
  </si>
  <si>
    <t xml:space="preserve">Gadchiroli</t>
  </si>
  <si>
    <t xml:space="preserve">Garhchiroli</t>
  </si>
  <si>
    <t xml:space="preserve">Mahesana</t>
  </si>
  <si>
    <t xml:space="preserve">Katihar</t>
  </si>
  <si>
    <t xml:space="preserve">Viluppuram</t>
  </si>
  <si>
    <t xml:space="preserve">Namakkal</t>
  </si>
  <si>
    <t xml:space="preserve">Dewas</t>
  </si>
  <si>
    <t xml:space="preserve">Karur</t>
  </si>
  <si>
    <t xml:space="preserve">Palakkad</t>
  </si>
  <si>
    <t xml:space="preserve">Ratlam</t>
  </si>
  <si>
    <t xml:space="preserve">Shahdol</t>
  </si>
  <si>
    <t xml:space="preserve">Idukki</t>
  </si>
  <si>
    <t xml:space="preserve">Medak</t>
  </si>
  <si>
    <t xml:space="preserve">Nadia</t>
  </si>
  <si>
    <t xml:space="preserve">Chikkaballapura</t>
  </si>
  <si>
    <t xml:space="preserve">Mainpuri</t>
  </si>
  <si>
    <t xml:space="preserve">Haveri</t>
  </si>
  <si>
    <t xml:space="preserve">Sundargarh</t>
  </si>
  <si>
    <t xml:space="preserve">Hyderabad</t>
  </si>
  <si>
    <t xml:space="preserve">Begusarai</t>
  </si>
  <si>
    <t xml:space="preserve">Sheopur</t>
  </si>
  <si>
    <t xml:space="preserve">New Delhi</t>
  </si>
  <si>
    <t xml:space="preserve">NCT Delhi</t>
  </si>
  <si>
    <t xml:space="preserve">Pratapgarh</t>
  </si>
  <si>
    <t xml:space="preserve">Pratapgarh (Raj)</t>
  </si>
  <si>
    <t xml:space="preserve">Panna</t>
  </si>
  <si>
    <t xml:space="preserve">Puducherry</t>
  </si>
  <si>
    <t xml:space="preserve">Etah</t>
  </si>
  <si>
    <t xml:space="preserve">Ratnagiri</t>
  </si>
  <si>
    <t xml:space="preserve">Kanpur Nagar</t>
  </si>
  <si>
    <t xml:space="preserve">Maldah</t>
  </si>
  <si>
    <t xml:space="preserve">Dimapur</t>
  </si>
  <si>
    <t xml:space="preserve">Chittaurgarh</t>
  </si>
  <si>
    <t xml:space="preserve">Erode</t>
  </si>
  <si>
    <t xml:space="preserve">Imphal West</t>
  </si>
  <si>
    <t xml:space="preserve">Udaipur</t>
  </si>
  <si>
    <t xml:space="preserve">Kaushambi</t>
  </si>
  <si>
    <t xml:space="preserve">Lahul &amp; Spiti</t>
  </si>
  <si>
    <t xml:space="preserve">Madurai</t>
  </si>
  <si>
    <t xml:space="preserve">Unnao</t>
  </si>
  <si>
    <t xml:space="preserve">Azamgarh</t>
  </si>
  <si>
    <t xml:space="preserve">Shivpuri</t>
  </si>
  <si>
    <t xml:space="preserve">Washim</t>
  </si>
  <si>
    <t xml:space="preserve">Anand</t>
  </si>
  <si>
    <t xml:space="preserve">Giridih</t>
  </si>
  <si>
    <t xml:space="preserve">Jharkhand</t>
  </si>
  <si>
    <t xml:space="preserve">Thiruvananthapuram</t>
  </si>
  <si>
    <t xml:space="preserve">Vidisha</t>
  </si>
  <si>
    <t xml:space="preserve">Rayagada</t>
  </si>
  <si>
    <t xml:space="preserve">Warangal</t>
  </si>
  <si>
    <t xml:space="preserve">Dakshina Kannada</t>
  </si>
  <si>
    <t xml:space="preserve">Bahraich</t>
  </si>
  <si>
    <t xml:space="preserve">Raigarh</t>
  </si>
  <si>
    <t xml:space="preserve">Hamirpur</t>
  </si>
  <si>
    <t xml:space="preserve">Hamirpur (HP)</t>
  </si>
  <si>
    <t xml:space="preserve">Mau</t>
  </si>
  <si>
    <t xml:space="preserve">Umaria</t>
  </si>
  <si>
    <t xml:space="preserve">Banda</t>
  </si>
  <si>
    <t xml:space="preserve">Ariyalur</t>
  </si>
  <si>
    <t xml:space="preserve">Kasaragod</t>
  </si>
  <si>
    <t xml:space="preserve">Mahoba</t>
  </si>
  <si>
    <t xml:space="preserve">Chandrapur</t>
  </si>
  <si>
    <t xml:space="preserve">Chirang</t>
  </si>
  <si>
    <t xml:space="preserve">Bokaro</t>
  </si>
  <si>
    <t xml:space="preserve">Hailakandi</t>
  </si>
  <si>
    <t xml:space="preserve">Farrukhabad</t>
  </si>
  <si>
    <t xml:space="preserve">Barddhaman</t>
  </si>
  <si>
    <t xml:space="preserve">Gondiya</t>
  </si>
  <si>
    <t xml:space="preserve">Thrissur</t>
  </si>
  <si>
    <t xml:space="preserve">Perambalur</t>
  </si>
  <si>
    <t xml:space="preserve">Sehore</t>
  </si>
  <si>
    <t xml:space="preserve">East Godavari</t>
  </si>
  <si>
    <t xml:space="preserve">Rampur</t>
  </si>
  <si>
    <t xml:space="preserve">Ashoknagar</t>
  </si>
  <si>
    <t xml:space="preserve">Dumka</t>
  </si>
  <si>
    <t xml:space="preserve">Kolar</t>
  </si>
  <si>
    <t xml:space="preserve">Kulgam</t>
  </si>
  <si>
    <t xml:space="preserve">North Tripura</t>
  </si>
  <si>
    <t xml:space="preserve">Sagar</t>
  </si>
  <si>
    <t xml:space="preserve">Muzaffarnagar</t>
  </si>
  <si>
    <t xml:space="preserve">Nalanda</t>
  </si>
  <si>
    <t xml:space="preserve">Kurnool</t>
  </si>
  <si>
    <t xml:space="preserve">Mathura</t>
  </si>
  <si>
    <t xml:space="preserve">Anantnag</t>
  </si>
  <si>
    <t xml:space="preserve">Kheri</t>
  </si>
  <si>
    <t xml:space="preserve">Prakasam</t>
  </si>
  <si>
    <t xml:space="preserve">Rajsamand</t>
  </si>
  <si>
    <t xml:space="preserve">Kanpur Dehat</t>
  </si>
  <si>
    <t xml:space="preserve">Patan</t>
  </si>
  <si>
    <t xml:space="preserve">Rewa</t>
  </si>
  <si>
    <t xml:space="preserve">Jajapur</t>
  </si>
  <si>
    <t xml:space="preserve">Mirzapur</t>
  </si>
  <si>
    <t xml:space="preserve">Theni</t>
  </si>
  <si>
    <t xml:space="preserve">Vellore</t>
  </si>
  <si>
    <t xml:space="preserve">Wardha</t>
  </si>
  <si>
    <t xml:space="preserve">Thiruvallur</t>
  </si>
  <si>
    <t xml:space="preserve">Chhatarpur</t>
  </si>
  <si>
    <t xml:space="preserve">Bhojpur</t>
  </si>
  <si>
    <t xml:space="preserve">Siwan</t>
  </si>
  <si>
    <t xml:space="preserve">Tiruchirappalli</t>
  </si>
  <si>
    <t xml:space="preserve">Chitrakoot</t>
  </si>
  <si>
    <t xml:space="preserve">Sawai Madhopur</t>
  </si>
  <si>
    <t xml:space="preserve">Krishnagiri</t>
  </si>
  <si>
    <t xml:space="preserve">Porbandar</t>
  </si>
  <si>
    <t xml:space="preserve">Shimoga</t>
  </si>
  <si>
    <t xml:space="preserve">Alappuzha</t>
  </si>
  <si>
    <t xml:space="preserve">Adilabad</t>
  </si>
  <si>
    <t xml:space="preserve">Deoria</t>
  </si>
  <si>
    <t xml:space="preserve">Bhind</t>
  </si>
  <si>
    <t xml:space="preserve">Rangareddy</t>
  </si>
  <si>
    <t xml:space="preserve">Pithoragarh</t>
  </si>
  <si>
    <t xml:space="preserve">Kozhikode</t>
  </si>
  <si>
    <t xml:space="preserve">Morena</t>
  </si>
  <si>
    <t xml:space="preserve">East Nimar</t>
  </si>
  <si>
    <t xml:space="preserve">Faizabad</t>
  </si>
  <si>
    <t xml:space="preserve">Yavatmal</t>
  </si>
  <si>
    <t xml:space="preserve">Uttara Kannada</t>
  </si>
  <si>
    <t xml:space="preserve">Balrampur</t>
  </si>
  <si>
    <t xml:space="preserve">Aligarh</t>
  </si>
  <si>
    <t xml:space="preserve">Damoh</t>
  </si>
  <si>
    <t xml:space="preserve">Jammu</t>
  </si>
  <si>
    <t xml:space="preserve">Tiruvannamalai</t>
  </si>
  <si>
    <t xml:space="preserve">Bhavnagar</t>
  </si>
  <si>
    <t xml:space="preserve">Kheda</t>
  </si>
  <si>
    <t xml:space="preserve">East Champaran</t>
  </si>
  <si>
    <t xml:space="preserve">Karnal</t>
  </si>
  <si>
    <t xml:space="preserve">Purba Champaran</t>
  </si>
  <si>
    <t xml:space="preserve">Coimbatore</t>
  </si>
  <si>
    <t xml:space="preserve">Shimla</t>
  </si>
  <si>
    <t xml:space="preserve">Kottayam</t>
  </si>
  <si>
    <t xml:space="preserve">Gandhinagar</t>
  </si>
  <si>
    <t xml:space="preserve">Dindigul</t>
  </si>
  <si>
    <t xml:space="preserve">Chandel</t>
  </si>
  <si>
    <t xml:space="preserve">Gaya</t>
  </si>
  <si>
    <t xml:space="preserve">Kannur</t>
  </si>
  <si>
    <t xml:space="preserve">Bharuch</t>
  </si>
  <si>
    <t xml:space="preserve">Satna</t>
  </si>
  <si>
    <t xml:space="preserve">Bilaspur</t>
  </si>
  <si>
    <t xml:space="preserve">Bilaspur (HP)</t>
  </si>
  <si>
    <t xml:space="preserve">Sikar</t>
  </si>
  <si>
    <t xml:space="preserve">Vadodara</t>
  </si>
  <si>
    <t xml:space="preserve">Sivaganga</t>
  </si>
  <si>
    <t xml:space="preserve">Thiruvarur</t>
  </si>
  <si>
    <t xml:space="preserve">Thane</t>
  </si>
  <si>
    <t xml:space="preserve">Surat</t>
  </si>
  <si>
    <t xml:space="preserve">Ramanathapuram</t>
  </si>
  <si>
    <t xml:space="preserve">Shajapur</t>
  </si>
  <si>
    <t xml:space="preserve">Saharanpur</t>
  </si>
  <si>
    <t xml:space="preserve">Kolkata</t>
  </si>
  <si>
    <t xml:space="preserve">Kalahandi</t>
  </si>
  <si>
    <t xml:space="preserve">Nizamabad</t>
  </si>
  <si>
    <t xml:space="preserve">Sitapur</t>
  </si>
  <si>
    <t xml:space="preserve">Ambedkar Nagar</t>
  </si>
  <si>
    <t xml:space="preserve">Kurukshetra</t>
  </si>
  <si>
    <t xml:space="preserve">Budaun</t>
  </si>
  <si>
    <t xml:space="preserve">Ghazipur</t>
  </si>
  <si>
    <t xml:space="preserve">Buxar</t>
  </si>
  <si>
    <t xml:space="preserve">Shahjahanpur</t>
  </si>
  <si>
    <t xml:space="preserve">Bankura</t>
  </si>
  <si>
    <t xml:space="preserve">Allahabad</t>
  </si>
  <si>
    <t xml:space="preserve">Nilgiris</t>
  </si>
  <si>
    <t xml:space="preserve">The Nilgiris</t>
  </si>
  <si>
    <t xml:space="preserve">Kanniyakumari</t>
  </si>
  <si>
    <t xml:space="preserve">Jabalpur</t>
  </si>
  <si>
    <t xml:space="preserve">Lakhisarai</t>
  </si>
  <si>
    <t xml:space="preserve">Rohtak</t>
  </si>
  <si>
    <t xml:space="preserve">Aizawl</t>
  </si>
  <si>
    <t xml:space="preserve">Mizoram</t>
  </si>
  <si>
    <t xml:space="preserve">Alwar</t>
  </si>
  <si>
    <t xml:space="preserve">Ambala</t>
  </si>
  <si>
    <t xml:space="preserve">Anugul</t>
  </si>
  <si>
    <t xml:space="preserve">Anuppur</t>
  </si>
  <si>
    <t xml:space="preserve">Arwal</t>
  </si>
  <si>
    <t xml:space="preserve">Balaghat</t>
  </si>
  <si>
    <t xml:space="preserve">Balangir</t>
  </si>
  <si>
    <t xml:space="preserve">Bandipore</t>
  </si>
  <si>
    <t xml:space="preserve">Baran</t>
  </si>
  <si>
    <t xml:space="preserve">Bareilly</t>
  </si>
  <si>
    <t xml:space="preserve">Basti</t>
  </si>
  <si>
    <t xml:space="preserve">Bhandara</t>
  </si>
  <si>
    <t xml:space="preserve">Bhiwani</t>
  </si>
  <si>
    <t xml:space="preserve">Bikaner</t>
  </si>
  <si>
    <t xml:space="preserve">Birbhum</t>
  </si>
  <si>
    <t xml:space="preserve">Bundi</t>
  </si>
  <si>
    <t xml:space="preserve">Burhanpur</t>
  </si>
  <si>
    <t xml:space="preserve">Chandauli</t>
  </si>
  <si>
    <t xml:space="preserve">Chandigarh</t>
  </si>
  <si>
    <t xml:space="preserve">Chatra</t>
  </si>
  <si>
    <t xml:space="preserve">Chikmagalur</t>
  </si>
  <si>
    <t xml:space="preserve">Datia</t>
  </si>
  <si>
    <t xml:space="preserve">Dausa</t>
  </si>
  <si>
    <t xml:space="preserve">Davanagere</t>
  </si>
  <si>
    <t xml:space="preserve">Deoghar</t>
  </si>
  <si>
    <t xml:space="preserve">Dhalai</t>
  </si>
  <si>
    <t xml:space="preserve">Dhamtari</t>
  </si>
  <si>
    <t xml:space="preserve">Dhanbad</t>
  </si>
  <si>
    <t xml:space="preserve">Dhar</t>
  </si>
  <si>
    <t xml:space="preserve">Dharmapuri</t>
  </si>
  <si>
    <t xml:space="preserve">Dhenkanal</t>
  </si>
  <si>
    <t xml:space="preserve">Dindori</t>
  </si>
  <si>
    <t xml:space="preserve">Dungarpur</t>
  </si>
  <si>
    <t xml:space="preserve">Durg</t>
  </si>
  <si>
    <t xml:space="preserve">Firozabad</t>
  </si>
  <si>
    <t xml:space="preserve">Garhwa</t>
  </si>
  <si>
    <t xml:space="preserve">Gautam Buddha Nagar</t>
  </si>
  <si>
    <t xml:space="preserve">Godda</t>
  </si>
  <si>
    <t xml:space="preserve">Gumla</t>
  </si>
  <si>
    <t xml:space="preserve">Guna</t>
  </si>
  <si>
    <t xml:space="preserve">Gurgaon</t>
  </si>
  <si>
    <t xml:space="preserve">Gwalior</t>
  </si>
  <si>
    <t xml:space="preserve">Hanumangarh</t>
  </si>
  <si>
    <t xml:space="preserve">Hardwar</t>
  </si>
  <si>
    <t xml:space="preserve">Haridwar</t>
  </si>
  <si>
    <t xml:space="preserve">Hazaribagh</t>
  </si>
  <si>
    <t xml:space="preserve">Hisar</t>
  </si>
  <si>
    <t xml:space="preserve">Indore</t>
  </si>
  <si>
    <t xml:space="preserve">Jamtara</t>
  </si>
  <si>
    <t xml:space="preserve">Jamui</t>
  </si>
  <si>
    <t xml:space="preserve">Janjgir-champa</t>
  </si>
  <si>
    <t xml:space="preserve">Jehanabad</t>
  </si>
  <si>
    <t xml:space="preserve">Jhabua</t>
  </si>
  <si>
    <t xml:space="preserve">Jhalawar</t>
  </si>
  <si>
    <t xml:space="preserve">Jyotiba Phule Nagar</t>
  </si>
  <si>
    <t xml:space="preserve">Kabeerdham</t>
  </si>
  <si>
    <t xml:space="preserve">Kancheepuram</t>
  </si>
  <si>
    <t xml:space="preserve">Kandhamal</t>
  </si>
  <si>
    <t xml:space="preserve">Kannauj</t>
  </si>
  <si>
    <t xml:space="preserve">Karimnagar</t>
  </si>
  <si>
    <t xml:space="preserve">Katni</t>
  </si>
  <si>
    <t xml:space="preserve">Kodagu</t>
  </si>
  <si>
    <t xml:space="preserve">Kokrajhar</t>
  </si>
  <si>
    <t xml:space="preserve">Kolhapur</t>
  </si>
  <si>
    <t xml:space="preserve">Korba</t>
  </si>
  <si>
    <t xml:space="preserve">Koriya</t>
  </si>
  <si>
    <t xml:space="preserve">Kota</t>
  </si>
  <si>
    <t xml:space="preserve">Lalitpur</t>
  </si>
  <si>
    <t xml:space="preserve">Latehar</t>
  </si>
  <si>
    <t xml:space="preserve">Leh (ladakh)</t>
  </si>
  <si>
    <t xml:space="preserve">Lohardaga</t>
  </si>
  <si>
    <t xml:space="preserve">Lohit</t>
  </si>
  <si>
    <t xml:space="preserve">Lucknow</t>
  </si>
  <si>
    <t xml:space="preserve">Maharajganj</t>
  </si>
  <si>
    <t xml:space="preserve">Mahasamund</t>
  </si>
  <si>
    <t xml:space="preserve">Mahendragarh</t>
  </si>
  <si>
    <t xml:space="preserve">Malappuram</t>
  </si>
  <si>
    <t xml:space="preserve">Malkangiri</t>
  </si>
  <si>
    <t xml:space="preserve">Mandla</t>
  </si>
  <si>
    <t xml:space="preserve">Meerut</t>
  </si>
  <si>
    <t xml:space="preserve">Narayanpur</t>
  </si>
  <si>
    <t xml:space="preserve">Navsari</t>
  </si>
  <si>
    <t xml:space="preserve">Nawada</t>
  </si>
  <si>
    <t xml:space="preserve">North &amp; Middle Andaman</t>
  </si>
  <si>
    <t xml:space="preserve">Andaman &amp; Nicobar</t>
  </si>
  <si>
    <t xml:space="preserve">Island</t>
  </si>
  <si>
    <t xml:space="preserve">Cyclone</t>
  </si>
  <si>
    <t xml:space="preserve">North Goa</t>
  </si>
  <si>
    <t xml:space="preserve">Goa</t>
  </si>
  <si>
    <t xml:space="preserve">Nuapada</t>
  </si>
  <si>
    <t xml:space="preserve">Palamu</t>
  </si>
  <si>
    <t xml:space="preserve">Pashchimi Singhbhum</t>
  </si>
  <si>
    <t xml:space="preserve">Pudukkottai</t>
  </si>
  <si>
    <t xml:space="preserve">Puruliya</t>
  </si>
  <si>
    <t xml:space="preserve">Rae Bareli</t>
  </si>
  <si>
    <t xml:space="preserve">Raipur</t>
  </si>
  <si>
    <t xml:space="preserve">Raisen</t>
  </si>
  <si>
    <t xml:space="preserve">Rajnandgaon</t>
  </si>
  <si>
    <t xml:space="preserve">Ramgarh</t>
  </si>
  <si>
    <t xml:space="preserve">Ranchi</t>
  </si>
  <si>
    <t xml:space="preserve">Sabar Kantha</t>
  </si>
  <si>
    <t xml:space="preserve">Salem</t>
  </si>
  <si>
    <t xml:space="preserve">Sambalpur</t>
  </si>
  <si>
    <t xml:space="preserve">Sant Kabir Nagar</t>
  </si>
  <si>
    <t xml:space="preserve">Saraikela-kharsawan</t>
  </si>
  <si>
    <t xml:space="preserve">Sheikhpura</t>
  </si>
  <si>
    <t xml:space="preserve">Shrawasti</t>
  </si>
  <si>
    <t xml:space="preserve">Siddharth Nagar</t>
  </si>
  <si>
    <t xml:space="preserve">Simdega</t>
  </si>
  <si>
    <t xml:space="preserve">Sirohi</t>
  </si>
  <si>
    <t xml:space="preserve">Sirsa</t>
  </si>
  <si>
    <t xml:space="preserve">Sonbhadra</t>
  </si>
  <si>
    <t xml:space="preserve">South 24 Parganas</t>
  </si>
  <si>
    <t xml:space="preserve">South Andaman</t>
  </si>
  <si>
    <t xml:space="preserve">South Garo Hills</t>
  </si>
  <si>
    <t xml:space="preserve">Meghalaya</t>
  </si>
  <si>
    <t xml:space="preserve">South Goa</t>
  </si>
  <si>
    <t xml:space="preserve">Sultanpur</t>
  </si>
  <si>
    <t xml:space="preserve">Supaul</t>
  </si>
  <si>
    <t xml:space="preserve">The Dangs</t>
  </si>
  <si>
    <t xml:space="preserve">Tonk</t>
  </si>
  <si>
    <t xml:space="preserve">Udupi</t>
  </si>
  <si>
    <t xml:space="preserve">Ujjain</t>
  </si>
  <si>
    <t xml:space="preserve">Uttarkashi</t>
  </si>
  <si>
    <t xml:space="preserve">Varanasi</t>
  </si>
  <si>
    <t xml:space="preserve">Wayanad</t>
  </si>
  <si>
    <t xml:space="preserve">Yanam</t>
  </si>
  <si>
    <t xml:space="preserve">—</t>
  </si>
  <si>
    <t xml:space="preserve">Alirajpur</t>
  </si>
  <si>
    <t xml:space="preserve">No Data Available</t>
  </si>
  <si>
    <t xml:space="preserve">No Data</t>
  </si>
  <si>
    <t xml:space="preserve">Almora</t>
  </si>
  <si>
    <t xml:space="preserve">Amritsar</t>
  </si>
  <si>
    <t xml:space="preserve">Punjab</t>
  </si>
  <si>
    <t xml:space="preserve">Anjaw</t>
  </si>
  <si>
    <t xml:space="preserve">Badgam</t>
  </si>
  <si>
    <t xml:space="preserve">Bageshwar</t>
  </si>
  <si>
    <t xml:space="preserve">Baghpat</t>
  </si>
  <si>
    <t xml:space="preserve">Baksa</t>
  </si>
  <si>
    <t xml:space="preserve">Baramulla</t>
  </si>
  <si>
    <t xml:space="preserve">Bargarh</t>
  </si>
  <si>
    <t xml:space="preserve">Barnala</t>
  </si>
  <si>
    <t xml:space="preserve">Barwani</t>
  </si>
  <si>
    <t xml:space="preserve">Bastar</t>
  </si>
  <si>
    <t xml:space="preserve">Bathinda</t>
  </si>
  <si>
    <t xml:space="preserve">Betul</t>
  </si>
  <si>
    <t xml:space="preserve">Bharatpur</t>
  </si>
  <si>
    <t xml:space="preserve">Boudh</t>
  </si>
  <si>
    <t xml:space="preserve">Central Delhi</t>
  </si>
  <si>
    <t xml:space="preserve">Chamba</t>
  </si>
  <si>
    <t xml:space="preserve">Chamoli</t>
  </si>
  <si>
    <t xml:space="preserve">Champawat</t>
  </si>
  <si>
    <t xml:space="preserve">Champhai</t>
  </si>
  <si>
    <t xml:space="preserve">Changlang</t>
  </si>
  <si>
    <t xml:space="preserve">Chhindwara</t>
  </si>
  <si>
    <t xml:space="preserve">Churachandpur</t>
  </si>
  <si>
    <t xml:space="preserve">Cooch Behar</t>
  </si>
  <si>
    <t xml:space="preserve">Dadra &amp; Nagar Haveli</t>
  </si>
  <si>
    <t xml:space="preserve">Dahod</t>
  </si>
  <si>
    <t xml:space="preserve">Dakshin Dinajpur</t>
  </si>
  <si>
    <t xml:space="preserve">Daman</t>
  </si>
  <si>
    <t xml:space="preserve">Daman &amp; Diu</t>
  </si>
  <si>
    <t xml:space="preserve">Dantewada</t>
  </si>
  <si>
    <t xml:space="preserve">Debagarh</t>
  </si>
  <si>
    <t xml:space="preserve">Dehradun</t>
  </si>
  <si>
    <t xml:space="preserve">Dholpur</t>
  </si>
  <si>
    <t xml:space="preserve">Dibang Valley</t>
  </si>
  <si>
    <t xml:space="preserve">Dima Hasao</t>
  </si>
  <si>
    <t xml:space="preserve">Diu</t>
  </si>
  <si>
    <t xml:space="preserve">East (Sikkim)</t>
  </si>
  <si>
    <t xml:space="preserve">East Delhi</t>
  </si>
  <si>
    <t xml:space="preserve">East Garo Hills</t>
  </si>
  <si>
    <t xml:space="preserve">East Jaintia Hills</t>
  </si>
  <si>
    <t xml:space="preserve">East Kameng</t>
  </si>
  <si>
    <t xml:space="preserve">East Khasi Hills</t>
  </si>
  <si>
    <t xml:space="preserve">East Singhbhum</t>
  </si>
  <si>
    <t xml:space="preserve">Faridabad</t>
  </si>
  <si>
    <t xml:space="preserve">Faridkot</t>
  </si>
  <si>
    <t xml:space="preserve">Fatehabad</t>
  </si>
  <si>
    <t xml:space="preserve">Fatehgarh Sahib</t>
  </si>
  <si>
    <t xml:space="preserve">Firozpur</t>
  </si>
  <si>
    <t xml:space="preserve">Ganderbal</t>
  </si>
  <si>
    <t xml:space="preserve">Gomati</t>
  </si>
  <si>
    <t xml:space="preserve">Gonda</t>
  </si>
  <si>
    <t xml:space="preserve">Gurdaspur</t>
  </si>
  <si>
    <t xml:space="preserve">Harda</t>
  </si>
  <si>
    <t xml:space="preserve">Hathras</t>
  </si>
  <si>
    <t xml:space="preserve">Hoshangabad</t>
  </si>
  <si>
    <t xml:space="preserve">Hoshiarpur</t>
  </si>
  <si>
    <t xml:space="preserve">Howrah</t>
  </si>
  <si>
    <t xml:space="preserve">Jalandhar</t>
  </si>
  <si>
    <t xml:space="preserve">Jashpur</t>
  </si>
  <si>
    <t xml:space="preserve">Jhajjar</t>
  </si>
  <si>
    <t xml:space="preserve">Jharsuguda</t>
  </si>
  <si>
    <t xml:space="preserve">Jind</t>
  </si>
  <si>
    <t xml:space="preserve">Kaimur</t>
  </si>
  <si>
    <t xml:space="preserve">Kaithal</t>
  </si>
  <si>
    <t xml:space="preserve">Kamrup Metropolitan</t>
  </si>
  <si>
    <t xml:space="preserve">Kanker</t>
  </si>
  <si>
    <t xml:space="preserve">Kapurthala</t>
  </si>
  <si>
    <t xml:space="preserve">Karaikal</t>
  </si>
  <si>
    <t xml:space="preserve">Karauli</t>
  </si>
  <si>
    <t xml:space="preserve">Kargil</t>
  </si>
  <si>
    <t xml:space="preserve">Kathua</t>
  </si>
  <si>
    <t xml:space="preserve">Keonjhar</t>
  </si>
  <si>
    <t xml:space="preserve">Khowai</t>
  </si>
  <si>
    <t xml:space="preserve">Khunti</t>
  </si>
  <si>
    <t xml:space="preserve">Kishtwar</t>
  </si>
  <si>
    <t xml:space="preserve">Kodarma</t>
  </si>
  <si>
    <t xml:space="preserve">Kohima</t>
  </si>
  <si>
    <t xml:space="preserve">Kolasib</t>
  </si>
  <si>
    <t xml:space="preserve">Kurung Kumey</t>
  </si>
  <si>
    <t xml:space="preserve">Lakshadweep</t>
  </si>
  <si>
    <t xml:space="preserve">Lawngtlai</t>
  </si>
  <si>
    <t xml:space="preserve">Longleng</t>
  </si>
  <si>
    <t xml:space="preserve">Lower Dibang Valley</t>
  </si>
  <si>
    <t xml:space="preserve">Lower Subansiri</t>
  </si>
  <si>
    <t xml:space="preserve">Ludhiana</t>
  </si>
  <si>
    <t xml:space="preserve">Lunglei</t>
  </si>
  <si>
    <t xml:space="preserve">Mahe</t>
  </si>
  <si>
    <t xml:space="preserve">Mamit</t>
  </si>
  <si>
    <t xml:space="preserve">Mandsaur</t>
  </si>
  <si>
    <t xml:space="preserve">Mansa</t>
  </si>
  <si>
    <t xml:space="preserve">Mayurbhanj</t>
  </si>
  <si>
    <t xml:space="preserve">Mewat</t>
  </si>
  <si>
    <t xml:space="preserve">Moga</t>
  </si>
  <si>
    <t xml:space="preserve">Mokokchung</t>
  </si>
  <si>
    <t xml:space="preserve">Mon</t>
  </si>
  <si>
    <t xml:space="preserve">Moradabad</t>
  </si>
  <si>
    <t xml:space="preserve">Muktsar</t>
  </si>
  <si>
    <t xml:space="preserve">Mumbai Suburban</t>
  </si>
  <si>
    <t xml:space="preserve">Murshidabad</t>
  </si>
  <si>
    <t xml:space="preserve">Nabarangapur</t>
  </si>
  <si>
    <t xml:space="preserve">Narmada</t>
  </si>
  <si>
    <t xml:space="preserve">Narsinghpur</t>
  </si>
  <si>
    <t xml:space="preserve">Neemuch</t>
  </si>
  <si>
    <t xml:space="preserve">Nicobar</t>
  </si>
  <si>
    <t xml:space="preserve">North Delhi</t>
  </si>
  <si>
    <t xml:space="preserve">North East Delhi</t>
  </si>
  <si>
    <t xml:space="preserve">North Garo Hills</t>
  </si>
  <si>
    <t xml:space="preserve">North West Delhi</t>
  </si>
  <si>
    <t xml:space="preserve">Pakur</t>
  </si>
  <si>
    <t xml:space="preserve">Palwal</t>
  </si>
  <si>
    <t xml:space="preserve">Panch Mahals</t>
  </si>
  <si>
    <t xml:space="preserve">Panchkula</t>
  </si>
  <si>
    <t xml:space="preserve">Panipat</t>
  </si>
  <si>
    <t xml:space="preserve">Papum Pare</t>
  </si>
  <si>
    <t xml:space="preserve">Pathankot</t>
  </si>
  <si>
    <t xml:space="preserve">Patiala</t>
  </si>
  <si>
    <t xml:space="preserve">Pauri Garhwal</t>
  </si>
  <si>
    <t xml:space="preserve">Peren</t>
  </si>
  <si>
    <t xml:space="preserve">Phek</t>
  </si>
  <si>
    <t xml:space="preserve">Poonch</t>
  </si>
  <si>
    <t xml:space="preserve">Pulwama</t>
  </si>
  <si>
    <t xml:space="preserve">Purba Medinipur</t>
  </si>
  <si>
    <t xml:space="preserve">Raigad</t>
  </si>
  <si>
    <t xml:space="preserve">Rajgarh</t>
  </si>
  <si>
    <t xml:space="preserve">Ramban</t>
  </si>
  <si>
    <t xml:space="preserve">Reasi</t>
  </si>
  <si>
    <t xml:space="preserve">Rewari</t>
  </si>
  <si>
    <t xml:space="preserve">Ri Bhoi</t>
  </si>
  <si>
    <t xml:space="preserve">Rudraprayag</t>
  </si>
  <si>
    <t xml:space="preserve">Rupnagar</t>
  </si>
  <si>
    <t xml:space="preserve">S.A.S. Nagar</t>
  </si>
  <si>
    <t xml:space="preserve">Sahebganj</t>
  </si>
  <si>
    <t xml:space="preserve">Saiha</t>
  </si>
  <si>
    <t xml:space="preserve">Samba</t>
  </si>
  <si>
    <t xml:space="preserve">Sangrur</t>
  </si>
  <si>
    <t xml:space="preserve">Sant Ravidas Nagar</t>
  </si>
  <si>
    <t xml:space="preserve">Senapati</t>
  </si>
  <si>
    <t xml:space="preserve">Seoni</t>
  </si>
  <si>
    <t xml:space="preserve">Sepahijala</t>
  </si>
  <si>
    <t xml:space="preserve">Serchhip</t>
  </si>
  <si>
    <t xml:space="preserve">Shopian</t>
  </si>
  <si>
    <t xml:space="preserve">Sindhudurg</t>
  </si>
  <si>
    <t xml:space="preserve">Singrauli</t>
  </si>
  <si>
    <t xml:space="preserve">Sirmaur</t>
  </si>
  <si>
    <t xml:space="preserve">Solan</t>
  </si>
  <si>
    <t xml:space="preserve">Sonipat</t>
  </si>
  <si>
    <t xml:space="preserve">South Delhi</t>
  </si>
  <si>
    <t xml:space="preserve">South Tripura</t>
  </si>
  <si>
    <t xml:space="preserve">South West Delhi</t>
  </si>
  <si>
    <t xml:space="preserve">South West Garo Hills</t>
  </si>
  <si>
    <t xml:space="preserve">Subarnapur</t>
  </si>
  <si>
    <t xml:space="preserve">Surguja</t>
  </si>
  <si>
    <t xml:space="preserve">Tamenglong</t>
  </si>
  <si>
    <t xml:space="preserve">Tapi</t>
  </si>
  <si>
    <t xml:space="preserve">Tarn Taran</t>
  </si>
  <si>
    <t xml:space="preserve">Tawang</t>
  </si>
  <si>
    <t xml:space="preserve">Tehri Garhwal</t>
  </si>
  <si>
    <t xml:space="preserve">Tirap</t>
  </si>
  <si>
    <t xml:space="preserve">Tuensang</t>
  </si>
  <si>
    <t xml:space="preserve">Udalguri</t>
  </si>
  <si>
    <t xml:space="preserve">Udham Singh Nagar</t>
  </si>
  <si>
    <t xml:space="preserve">Udhampur</t>
  </si>
  <si>
    <t xml:space="preserve">Ukhrul</t>
  </si>
  <si>
    <t xml:space="preserve">Una</t>
  </si>
  <si>
    <t xml:space="preserve">Unakoti</t>
  </si>
  <si>
    <t xml:space="preserve">Upper Subansiri</t>
  </si>
  <si>
    <t xml:space="preserve">Uttar Dinajpur</t>
  </si>
  <si>
    <t xml:space="preserve">Valsad</t>
  </si>
  <si>
    <t xml:space="preserve">West (Sikkim)</t>
  </si>
  <si>
    <t xml:space="preserve">West Delhi</t>
  </si>
  <si>
    <t xml:space="preserve">West Garo Hills</t>
  </si>
  <si>
    <t xml:space="preserve">West Jaintia Hills</t>
  </si>
  <si>
    <t xml:space="preserve">West Kameng</t>
  </si>
  <si>
    <t xml:space="preserve">West Khasi Hills</t>
  </si>
  <si>
    <t xml:space="preserve">West Midnapore</t>
  </si>
  <si>
    <t xml:space="preserve">West Nimar</t>
  </si>
  <si>
    <t xml:space="preserve">Wokha</t>
  </si>
  <si>
    <t xml:space="preserve">Zunheboto</t>
  </si>
  <si>
    <t xml:space="preserve">State-wise CVI Summary</t>
  </si>
  <si>
    <t xml:space="preserve">Total Districts</t>
  </si>
  <si>
    <t xml:space="preserve">Hotspot Districts</t>
  </si>
  <si>
    <t xml:space="preserve">No Data Districts</t>
  </si>
  <si>
    <t xml:space="preserve">% Hotspot</t>
  </si>
  <si>
    <t xml:space="preserve">Avg Normalized VI</t>
  </si>
  <si>
    <t xml:space="preserve">Max Normalized VI</t>
  </si>
  <si>
    <t xml:space="preserve">Most Vulnerable District</t>
  </si>
  <si>
    <t xml:space="preserve">CVI Dashboard Statistics</t>
  </si>
  <si>
    <t xml:space="preserve">Hotspot Districts (with data)</t>
  </si>
  <si>
    <t xml:space="preserve">No Data Available Districts</t>
  </si>
  <si>
    <t xml:space="preserve">% Districts Assessed</t>
  </si>
  <si>
    <t xml:space="preserve">Avg Normalized VI (assessed)</t>
  </si>
  <si>
    <t xml:space="preserve">Median Normalized VI (assessed)</t>
  </si>
  <si>
    <t xml:space="preserve">Avg Exposure</t>
  </si>
  <si>
    <t xml:space="preserve">Avg Sensitivity</t>
  </si>
  <si>
    <t xml:space="preserve">Avg Adaptive Capacity</t>
  </si>
  <si>
    <t xml:space="preserve">Vulnerability Category Breakdown</t>
  </si>
  <si>
    <t xml:space="preserve">Category</t>
  </si>
  <si>
    <t xml:space="preserve">Count</t>
  </si>
  <si>
    <t xml:space="preserve">% of All 650</t>
  </si>
  <si>
    <t xml:space="preserve">% of Assessed</t>
  </si>
  <si>
    <t xml:space="preserve">Very High</t>
  </si>
  <si>
    <t xml:space="preserve">High</t>
  </si>
  <si>
    <t xml:space="preserve">Moderate</t>
  </si>
  <si>
    <t xml:space="preserve">Low</t>
  </si>
  <si>
    <t xml:space="preserve">Very Low</t>
  </si>
  <si>
    <t xml:space="preserve">Event Type Breakdown</t>
  </si>
  <si>
    <t xml:space="preserve">Event Type</t>
  </si>
  <si>
    <t xml:space="preserve">Zone-wise Breakdown</t>
  </si>
  <si>
    <t xml:space="preserve">Total</t>
  </si>
  <si>
    <t xml:space="preserve">Assessed</t>
  </si>
  <si>
    <t xml:space="preserve">Avg Norm VI</t>
  </si>
  <si>
    <t xml:space="preserve">CVI Methodology, Formulas &amp; Data Sources</t>
  </si>
  <si>
    <t xml:space="preserve">CORE VULNERABILITY FORMULA</t>
  </si>
  <si>
    <t xml:space="preserve">Raw Vulnerability Index</t>
  </si>
  <si>
    <t xml:space="preserve">Raw VI  =  (Exposure × Sensitivity) / Adaptive Capacity</t>
  </si>
  <si>
    <t xml:space="preserve">Norm VI  =  (Raw VI - Min(all Raw VI)) / (Max(all Raw VI) - Min(all Raw VI))</t>
  </si>
  <si>
    <t xml:space="preserve">EXPOSURE SUB-INDICES</t>
  </si>
  <si>
    <t xml:space="preserve">Flood Exposure</t>
  </si>
  <si>
    <t xml:space="preserve">Average of (Flood Frequency, Flood Intensity) over pentad decades 1970-2019</t>
  </si>
  <si>
    <t xml:space="preserve">Drought Exposure</t>
  </si>
  <si>
    <t xml:space="preserve">Average of (Drought Frequency, Drought Intensity) over pentad decades</t>
  </si>
  <si>
    <t xml:space="preserve">Cyclone Exposure</t>
  </si>
  <si>
    <t xml:space="preserve">Average of (Cyclone Frequency, Cyclone Intensity) over pentad decades</t>
  </si>
  <si>
    <t xml:space="preserve">Combined Exposure</t>
  </si>
  <si>
    <t xml:space="preserve">0.40 × Flood + 0.35 × Drought + 0.25 × Cyclone</t>
  </si>
  <si>
    <t xml:space="preserve">SENSITIVITY (AHP Weights — validated via Consistency Ratio &lt; 0.1)</t>
  </si>
  <si>
    <t xml:space="preserve">Flood Sensitivity</t>
  </si>
  <si>
    <t xml:space="preserve">0.426×Elevation + 0.295×Slope + 0.182×LULC + 0.059×SoilMoisture + 0.037×Groundwater  [CR: 0.05]</t>
  </si>
  <si>
    <t xml:space="preserve">Cyclone Sensitivity</t>
  </si>
  <si>
    <t xml:space="preserve">0.464×LULC + 0.193×Elevation + 0.193×Slope + 0.085×SoilMoisture + 0.064×Groundwater  [CR: 0.02]</t>
  </si>
  <si>
    <t xml:space="preserve">Drought Sensitivity</t>
  </si>
  <si>
    <t xml:space="preserve">0.346×SoilMoisture + 0.293×Groundwater + 0.186×LULC + 0.099×Slope + 0.076×Elevation  [CR: 0.06]</t>
  </si>
  <si>
    <t xml:space="preserve">Combined Sensitivity</t>
  </si>
  <si>
    <t xml:space="preserve">Average of disaster-specific sensitivities</t>
  </si>
  <si>
    <t xml:space="preserve">ADAPTIVE CAPACITY (7 indicators, equal weight)</t>
  </si>
  <si>
    <t xml:space="preserve">1. Population Density</t>
  </si>
  <si>
    <t xml:space="preserve">Negatively correlated — inverted as (1 - normalised value)</t>
  </si>
  <si>
    <t xml:space="preserve">2. GDDP</t>
  </si>
  <si>
    <t xml:space="preserve">Positively correlated — higher district GDP means greater shock-absorbing capacity</t>
  </si>
  <si>
    <t xml:space="preserve">3. Literacy Rate</t>
  </si>
  <si>
    <t xml:space="preserve">Positively correlated — drives awareness, preparedness, and early response</t>
  </si>
  <si>
    <t xml:space="preserve">4. Sex Ratio</t>
  </si>
  <si>
    <t xml:space="preserve">Negatively correlated — women disproportionately affected; inverted</t>
  </si>
  <si>
    <t xml:space="preserve">5. Critical Infrastructure</t>
  </si>
  <si>
    <t xml:space="preserve">Positively correlated — hospitals, schools, all-weather roads</t>
  </si>
  <si>
    <t xml:space="preserve">6. Disaster Shelters</t>
  </si>
  <si>
    <t xml:space="preserve">Positively correlated — cyclone/flood evacuation capacity</t>
  </si>
  <si>
    <t xml:space="preserve">7. DDMP Score</t>
  </si>
  <si>
    <t xml:space="preserve">Positively correlated — governance readiness (7 sub-indicators per NDMA/SFDRR)</t>
  </si>
  <si>
    <t xml:space="preserve">VULNERABILITY CLASSIFICATION (based on Normalized VI)</t>
  </si>
  <si>
    <t xml:space="preserve">Normalized VI &gt;= 0.60</t>
  </si>
  <si>
    <t xml:space="preserve">0.40 &lt;= Normalized VI &lt; 0.60</t>
  </si>
  <si>
    <t xml:space="preserve">0.20 &lt;= Normalized VI &lt; 0.40</t>
  </si>
  <si>
    <t xml:space="preserve">0.10 &lt;= Normalized VI &lt; 0.20</t>
  </si>
  <si>
    <t xml:space="preserve">0.00 &lt; Normalized VI &lt; 0.10</t>
  </si>
  <si>
    <t xml:space="preserve">District not assessed as hotspot by CEEW — E, S, AC values are blank</t>
  </si>
  <si>
    <t xml:space="preserve">MIN-MAX NORMALIZATION</t>
  </si>
  <si>
    <t xml:space="preserve">Formula</t>
  </si>
  <si>
    <t xml:space="preserve">Norm(x)  =  (x - min(all_x)) / (max(all_x) - min(all_x))</t>
  </si>
  <si>
    <t xml:space="preserve">Applied to</t>
  </si>
  <si>
    <t xml:space="preserve">Raw VI column — scales all values into 0–1 range across all assessed districts</t>
  </si>
  <si>
    <t xml:space="preserve">Why needed</t>
  </si>
  <si>
    <t xml:space="preserve">Raw (E×S)/AC can exceed 1.0 when AC &lt; E×S; normalization ensures comparable 0–1 scale</t>
  </si>
  <si>
    <t xml:space="preserve">DATA SOURCES</t>
  </si>
  <si>
    <t xml:space="preserve">Exposure</t>
  </si>
  <si>
    <t xml:space="preserve">CEEW Extreme Events Catalogue (1970-2019) | EM-DAT | IMD | WMO</t>
  </si>
  <si>
    <t xml:space="preserve">LULC</t>
  </si>
  <si>
    <t xml:space="preserve">ISRO-NRSC Bhuvan (temporal: 2005 &amp; 2019)</t>
  </si>
  <si>
    <t xml:space="preserve">Elevation &amp; Slope</t>
  </si>
  <si>
    <t xml:space="preserve">USGS SRTM DEM 30m resolution</t>
  </si>
  <si>
    <t xml:space="preserve">Soil Moisture</t>
  </si>
  <si>
    <t xml:space="preserve">NASA Giovanni 25km (temporal: 2005 &amp; 2019)</t>
  </si>
  <si>
    <t xml:space="preserve">Groundwater</t>
  </si>
  <si>
    <t xml:space="preserve">WRIS India (Water Resources Information System)</t>
  </si>
  <si>
    <t xml:space="preserve">Adaptive Capacity</t>
  </si>
  <si>
    <t xml:space="preserve">Census of India 2011 | MoSPI | Ministry of Agriculture | PIB</t>
  </si>
  <si>
    <t xml:space="preserve">DDMPs</t>
  </si>
  <si>
    <t xml:space="preserve">Evaluated on 7 sub-indicators per NDMA guidelines &amp; SFDRR targets</t>
  </si>
  <si>
    <t xml:space="preserve">Framework</t>
  </si>
  <si>
    <t xml:space="preserve">IPCC SREX + DST Common Vulnerability Assessment Framework (2020)</t>
  </si>
  <si>
    <t xml:space="preserve">USAGE NOTES</t>
  </si>
  <si>
    <t xml:space="preserve">Blue cells</t>
  </si>
  <si>
    <t xml:space="preserve">Editable input values — change them and all formulas auto-recalculate</t>
  </si>
  <si>
    <t xml:space="preserve">Grey 'No Data' rows</t>
  </si>
  <si>
    <t xml:space="preserve">179 districts not in CEEW hotspot list — add your own E, S, AC data and formulas activate</t>
  </si>
  <si>
    <t xml:space="preserve">GeoJSON matching</t>
  </si>
  <si>
    <t xml:space="preserve">District names follow 2011 Census convention — match on district + state for accuracy</t>
  </si>
  <si>
    <t xml:space="preserve">Dashboard integration</t>
  </si>
  <si>
    <t xml:space="preserve">Normalized VI (col K) is the column to use for choropleth maps and risk scoring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</si>
</sst>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General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4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AAAAAA"/>
      <name val="Arial"/>
      <family val="0"/>
      <charset val="1"/>
    </font>
    <font>
      <b val="true"/>
      <sz val="12"/>
      <color rgb="FF1B3A4B"/>
      <name val="Arial"/>
      <family val="0"/>
      <charset val="1"/>
    </font>
    <font>
      <b val="true"/>
      <sz val="11"/>
      <color rgb="FF1B3A4B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4B"/>
        <bgColor rgb="FF003366"/>
      </patternFill>
    </fill>
    <fill>
      <patternFill patternType="solid">
        <fgColor rgb="FFF8F9FA"/>
        <bgColor rgb="FFFFFFFF"/>
      </patternFill>
    </fill>
    <fill>
      <patternFill patternType="solid">
        <fgColor rgb="FFFFF3CD"/>
        <bgColor rgb="FFF8F9FA"/>
      </patternFill>
    </fill>
    <fill>
      <patternFill patternType="solid">
        <fgColor rgb="FFE8DAEF"/>
        <bgColor rgb="FFDDDDDD"/>
      </patternFill>
    </fill>
    <fill>
      <patternFill patternType="solid">
        <fgColor rgb="FFD4EDDA"/>
        <bgColor rgb="FFDDDDDD"/>
      </patternFill>
    </fill>
    <fill>
      <patternFill patternType="solid">
        <fgColor rgb="FFEAECEE"/>
        <bgColor rgb="FFE8F4F8"/>
      </patternFill>
    </fill>
    <fill>
      <patternFill patternType="solid">
        <fgColor rgb="FFF5B7B1"/>
        <bgColor rgb="FFFAD7A0"/>
      </patternFill>
    </fill>
    <fill>
      <patternFill patternType="solid">
        <fgColor rgb="FFFAD7A0"/>
        <bgColor rgb="FFF9E79F"/>
      </patternFill>
    </fill>
    <fill>
      <patternFill patternType="solid">
        <fgColor rgb="FFF9E79F"/>
        <bgColor rgb="FFFAD7A0"/>
      </patternFill>
    </fill>
    <fill>
      <patternFill patternType="solid">
        <fgColor rgb="FFABEBC6"/>
        <bgColor rgb="FFAED6F1"/>
      </patternFill>
    </fill>
    <fill>
      <patternFill patternType="solid">
        <fgColor rgb="FFAED6F1"/>
        <bgColor rgb="FFABEBC6"/>
      </patternFill>
    </fill>
    <fill>
      <patternFill patternType="solid">
        <fgColor rgb="FFE8F4F8"/>
        <bgColor rgb="FFEAEC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B3A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EAECEE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BEBC6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39C12"/>
          <bgColor rgb="FF000000"/>
        </patternFill>
      </fill>
    </dxf>
    <dxf>
      <fill>
        <patternFill patternType="solid">
          <fgColor rgb="FFF7DC6F"/>
          <bgColor rgb="FF000000"/>
        </patternFill>
      </fill>
    </dxf>
    <dxf>
      <fill>
        <patternFill patternType="solid">
          <fgColor rgb="FFAED6F1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9E79F"/>
          <bgColor rgb="FF000000"/>
        </patternFill>
      </fill>
    </dxf>
    <dxf>
      <fill>
        <patternFill patternType="solid">
          <fgColor rgb="FFFAD7A0"/>
          <bgColor rgb="FF000000"/>
        </patternFill>
      </fill>
    </dxf>
    <dxf>
      <fill>
        <patternFill>
          <bgColor rgb="FFF5B7B1"/>
        </patternFill>
      </fill>
    </dxf>
    <dxf>
      <fill>
        <patternFill>
          <bgColor rgb="FFFAD7A0"/>
        </patternFill>
      </fill>
    </dxf>
    <dxf>
      <fill>
        <patternFill>
          <bgColor rgb="FFF9E79F"/>
        </patternFill>
      </fill>
    </dxf>
    <dxf>
      <fill>
        <patternFill>
          <bgColor rgb="FFABEBC6"/>
        </patternFill>
      </fill>
    </dxf>
    <dxf>
      <fill>
        <patternFill>
          <bgColor rgb="FFAED6F1"/>
        </patternFill>
      </fill>
    </dxf>
    <dxf>
      <fill>
        <patternFill>
          <bgColor rgb="FFEAECEE"/>
        </patternFill>
      </fill>
    </dxf>
    <dxf>
      <font>
        <b val="1"/>
        <color rgb="FFFFFFFF"/>
      </font>
      <fill>
        <patternFill>
          <bgColor rgb="FFE74C3C"/>
        </patternFill>
      </fill>
    </dxf>
    <dxf>
      <fill>
        <patternFill>
          <bgColor rgb="FFF39C12"/>
        </patternFill>
      </fill>
    </dxf>
    <dxf>
      <fill>
        <patternFill>
          <bgColor rgb="FFF7DC6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DDDDD"/>
      <rgbColor rgb="FF808080"/>
      <rgbColor rgb="FFABEBC6"/>
      <rgbColor rgb="FF8E44AD"/>
      <rgbColor rgb="FFFFF3CD"/>
      <rgbColor rgb="FFE8F4F8"/>
      <rgbColor rgb="FF660066"/>
      <rgbColor rgb="FFFF8080"/>
      <rgbColor rgb="FF0066CC"/>
      <rgbColor rgb="FFE8DA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CEE"/>
      <rgbColor rgb="FFD4EDDA"/>
      <rgbColor rgb="FFF9E79F"/>
      <rgbColor rgb="FFAED6F1"/>
      <rgbColor rgb="FFF5B7B1"/>
      <rgbColor rgb="FFF8F9FA"/>
      <rgbColor rgb="FFFAD7A0"/>
      <rgbColor rgb="FF3366FF"/>
      <rgbColor rgb="FF33CCCC"/>
      <rgbColor rgb="FF99CC00"/>
      <rgbColor rgb="FFF7DC6F"/>
      <rgbColor rgb="FFF39C12"/>
      <rgbColor rgb="FFE74C3C"/>
      <rgbColor rgb="FF555555"/>
      <rgbColor rgb="FFAAAAAA"/>
      <rgbColor rgb="FF003366"/>
      <rgbColor rgb="FF27AE60"/>
      <rgbColor rgb="FF003300"/>
      <rgbColor rgb="FF333300"/>
      <rgbColor rgb="FF993300"/>
      <rgbColor rgb="FF993366"/>
      <rgbColor rgb="FF333399"/>
      <rgbColor rgb="FF1B3A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4B"/>
    <pageSetUpPr fitToPage="false"/>
  </sheetPr>
  <dimension ref="A1:L6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8" min="7" style="0" width="13"/>
    <col collapsed="false" customWidth="true" hidden="false" outlineLevel="0" max="9" min="9" style="0" width="17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2" min="1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4" t="n">
        <v>1</v>
      </c>
      <c r="C5" s="5" t="s">
        <v>14</v>
      </c>
      <c r="D5" s="4" t="s">
        <v>15</v>
      </c>
      <c r="E5" s="4" t="s">
        <v>16</v>
      </c>
      <c r="F5" s="6" t="s">
        <v>17</v>
      </c>
      <c r="G5" s="7" t="n">
        <v>0.98</v>
      </c>
      <c r="H5" s="7" t="n">
        <v>0.9</v>
      </c>
      <c r="I5" s="7" t="n">
        <v>0.35</v>
      </c>
      <c r="J5" s="8" t="n">
        <f aca="false">IF(I5=0,0,(G5*H5)/I5)</f>
        <v>2.52</v>
      </c>
      <c r="K5" s="9" t="n">
        <f aca="false">IF(J5=0,0,(J5-MIN(J$5:J$654))/(MAX(J$5:J$654)-MIN(J$5:J$654)))</f>
        <v>1</v>
      </c>
      <c r="L5" s="10" t="str">
        <f aca="false">IF(K5=0,"Very Low",IF(K5&gt;=0.6,"Very High",IF(K5&gt;=0.4,"High",IF(K5&gt;=0.2,"Moderate",IF(K5&gt;=0.1,"Low","Very Low")))))</f>
        <v>Very High</v>
      </c>
    </row>
    <row r="6" customFormat="false" ht="15" hidden="false" customHeight="false" outlineLevel="0" collapsed="false">
      <c r="A6" s="4" t="n">
        <v>2</v>
      </c>
      <c r="B6" s="4" t="n">
        <v>1</v>
      </c>
      <c r="C6" s="5" t="s">
        <v>18</v>
      </c>
      <c r="D6" s="4" t="s">
        <v>19</v>
      </c>
      <c r="E6" s="4" t="s">
        <v>20</v>
      </c>
      <c r="F6" s="6" t="s">
        <v>21</v>
      </c>
      <c r="G6" s="7" t="n">
        <v>0.875</v>
      </c>
      <c r="H6" s="7" t="n">
        <v>0.96</v>
      </c>
      <c r="I6" s="7" t="n">
        <v>0.36</v>
      </c>
      <c r="J6" s="8" t="n">
        <f aca="false">IF(I6=0,0,(G6*H6)/I6)</f>
        <v>2.33333333333333</v>
      </c>
      <c r="K6" s="9" t="n">
        <f aca="false">IF(J6=0,0,(J6-MIN(J$5:J$654))/(MAX(J$5:J$654)-MIN(J$5:J$654)))</f>
        <v>0.925925925925926</v>
      </c>
      <c r="L6" s="10" t="str">
        <f aca="false">IF(K6=0,"Very Low",IF(K6&gt;=0.6,"Very High",IF(K6&gt;=0.4,"High",IF(K6&gt;=0.2,"Moderate",IF(K6&gt;=0.1,"Low","Very Low")))))</f>
        <v>Very High</v>
      </c>
    </row>
    <row r="7" customFormat="false" ht="15" hidden="false" customHeight="false" outlineLevel="0" collapsed="false">
      <c r="A7" s="4" t="n">
        <v>3</v>
      </c>
      <c r="B7" s="4" t="n">
        <v>1</v>
      </c>
      <c r="C7" s="5" t="s">
        <v>22</v>
      </c>
      <c r="D7" s="4" t="s">
        <v>23</v>
      </c>
      <c r="E7" s="4" t="s">
        <v>24</v>
      </c>
      <c r="F7" s="6" t="s">
        <v>25</v>
      </c>
      <c r="G7" s="7" t="n">
        <v>0.45</v>
      </c>
      <c r="H7" s="7" t="n">
        <v>0.74</v>
      </c>
      <c r="I7" s="7" t="n">
        <v>0.14</v>
      </c>
      <c r="J7" s="8" t="n">
        <f aca="false">IF(I7=0,0,(G7*H7)/I7)</f>
        <v>2.37857142857143</v>
      </c>
      <c r="K7" s="9" t="n">
        <f aca="false">IF(J7=0,0,(J7-MIN(J$5:J$654))/(MAX(J$5:J$654)-MIN(J$5:J$654)))</f>
        <v>0.943877551020408</v>
      </c>
      <c r="L7" s="10" t="str">
        <f aca="false">IF(K7=0,"Very Low",IF(K7&gt;=0.6,"Very High",IF(K7&gt;=0.4,"High",IF(K7&gt;=0.2,"Moderate",IF(K7&gt;=0.1,"Low","Very Low")))))</f>
        <v>Very High</v>
      </c>
    </row>
    <row r="8" customFormat="false" ht="15" hidden="false" customHeight="false" outlineLevel="0" collapsed="false">
      <c r="A8" s="4" t="n">
        <v>4</v>
      </c>
      <c r="B8" s="4" t="n">
        <v>1</v>
      </c>
      <c r="C8" s="5" t="s">
        <v>26</v>
      </c>
      <c r="D8" s="4" t="s">
        <v>15</v>
      </c>
      <c r="E8" s="4" t="s">
        <v>16</v>
      </c>
      <c r="F8" s="6" t="s">
        <v>27</v>
      </c>
      <c r="G8" s="7" t="n">
        <v>0.83</v>
      </c>
      <c r="H8" s="7" t="n">
        <v>0.89</v>
      </c>
      <c r="I8" s="7" t="n">
        <v>0.47</v>
      </c>
      <c r="J8" s="8" t="n">
        <f aca="false">IF(I8=0,0,(G8*H8)/I8)</f>
        <v>1.57170212765957</v>
      </c>
      <c r="K8" s="9" t="n">
        <f aca="false">IF(J8=0,0,(J8-MIN(J$5:J$654))/(MAX(J$5:J$654)-MIN(J$5:J$654)))</f>
        <v>0.623691320499831</v>
      </c>
      <c r="L8" s="10" t="str">
        <f aca="false">IF(K8=0,"Very Low",IF(K8&gt;=0.6,"Very High",IF(K8&gt;=0.4,"High",IF(K8&gt;=0.2,"Moderate",IF(K8&gt;=0.1,"Low","Very Low")))))</f>
        <v>Very High</v>
      </c>
    </row>
    <row r="9" customFormat="false" ht="15" hidden="false" customHeight="false" outlineLevel="0" collapsed="false">
      <c r="A9" s="4" t="n">
        <v>5</v>
      </c>
      <c r="B9" s="4" t="n">
        <v>1</v>
      </c>
      <c r="C9" s="5" t="s">
        <v>28</v>
      </c>
      <c r="D9" s="4" t="s">
        <v>29</v>
      </c>
      <c r="E9" s="4" t="s">
        <v>30</v>
      </c>
      <c r="F9" s="6" t="s">
        <v>31</v>
      </c>
      <c r="G9" s="7" t="n">
        <v>0.82</v>
      </c>
      <c r="H9" s="7" t="n">
        <v>1</v>
      </c>
      <c r="I9" s="7" t="n">
        <v>0.47</v>
      </c>
      <c r="J9" s="8" t="n">
        <f aca="false">IF(I9=0,0,(G9*H9)/I9)</f>
        <v>1.74468085106383</v>
      </c>
      <c r="K9" s="9" t="n">
        <f aca="false">IF(J9=0,0,(J9-MIN(J$5:J$654))/(MAX(J$5:J$654)-MIN(J$5:J$654)))</f>
        <v>0.692333671057075</v>
      </c>
      <c r="L9" s="10" t="str">
        <f aca="false">IF(K9=0,"Very Low",IF(K9&gt;=0.6,"Very High",IF(K9&gt;=0.4,"High",IF(K9&gt;=0.2,"Moderate",IF(K9&gt;=0.1,"Low","Very Low")))))</f>
        <v>Very High</v>
      </c>
    </row>
    <row r="10" customFormat="false" ht="15" hidden="false" customHeight="false" outlineLevel="0" collapsed="false">
      <c r="A10" s="4" t="n">
        <v>6</v>
      </c>
      <c r="B10" s="4" t="n">
        <v>1</v>
      </c>
      <c r="C10" s="5" t="s">
        <v>32</v>
      </c>
      <c r="D10" s="4" t="s">
        <v>33</v>
      </c>
      <c r="E10" s="4" t="s">
        <v>24</v>
      </c>
      <c r="F10" s="6" t="s">
        <v>34</v>
      </c>
      <c r="G10" s="7" t="n">
        <v>0.909</v>
      </c>
      <c r="H10" s="7" t="n">
        <v>1</v>
      </c>
      <c r="I10" s="7" t="n">
        <v>0.4</v>
      </c>
      <c r="J10" s="8" t="n">
        <f aca="false">IF(I10=0,0,(G10*H10)/I10)</f>
        <v>2.2725</v>
      </c>
      <c r="K10" s="9" t="n">
        <f aca="false">IF(J10=0,0,(J10-MIN(J$5:J$654))/(MAX(J$5:J$654)-MIN(J$5:J$654)))</f>
        <v>0.901785714285714</v>
      </c>
      <c r="L10" s="10" t="str">
        <f aca="false">IF(K10=0,"Very Low",IF(K10&gt;=0.6,"Very High",IF(K10&gt;=0.4,"High",IF(K10&gt;=0.2,"Moderate",IF(K10&gt;=0.1,"Low","Very Low")))))</f>
        <v>Very High</v>
      </c>
    </row>
    <row r="11" customFormat="false" ht="15" hidden="false" customHeight="false" outlineLevel="0" collapsed="false">
      <c r="A11" s="4" t="n">
        <v>7</v>
      </c>
      <c r="B11" s="4" t="n">
        <v>2</v>
      </c>
      <c r="C11" s="5" t="s">
        <v>35</v>
      </c>
      <c r="D11" s="4" t="s">
        <v>36</v>
      </c>
      <c r="E11" s="4" t="s">
        <v>24</v>
      </c>
      <c r="F11" s="6" t="s">
        <v>21</v>
      </c>
      <c r="G11" s="7" t="n">
        <v>1</v>
      </c>
      <c r="H11" s="7" t="n">
        <v>0.69</v>
      </c>
      <c r="I11" s="7" t="n">
        <v>0.45</v>
      </c>
      <c r="J11" s="8" t="n">
        <f aca="false">IF(I11=0,0,(G11*H11)/I11)</f>
        <v>1.53333333333333</v>
      </c>
      <c r="K11" s="9" t="n">
        <f aca="false">IF(J11=0,0,(J11-MIN(J$5:J$654))/(MAX(J$5:J$654)-MIN(J$5:J$654)))</f>
        <v>0.608465608465608</v>
      </c>
      <c r="L11" s="10" t="str">
        <f aca="false">IF(K11=0,"Very Low",IF(K11&gt;=0.6,"Very High",IF(K11&gt;=0.4,"High",IF(K11&gt;=0.2,"Moderate",IF(K11&gt;=0.1,"Low","Very Low")))))</f>
        <v>Very High</v>
      </c>
    </row>
    <row r="12" customFormat="false" ht="15" hidden="false" customHeight="false" outlineLevel="0" collapsed="false">
      <c r="A12" s="4" t="n">
        <v>8</v>
      </c>
      <c r="B12" s="4" t="n">
        <v>3</v>
      </c>
      <c r="C12" s="5" t="s">
        <v>37</v>
      </c>
      <c r="D12" s="4" t="s">
        <v>38</v>
      </c>
      <c r="E12" s="4" t="s">
        <v>16</v>
      </c>
      <c r="F12" s="6" t="s">
        <v>21</v>
      </c>
      <c r="G12" s="7" t="n">
        <v>0.72</v>
      </c>
      <c r="H12" s="7" t="n">
        <v>1</v>
      </c>
      <c r="I12" s="7" t="n">
        <v>0.49</v>
      </c>
      <c r="J12" s="8" t="n">
        <f aca="false">IF(I12=0,0,(G12*H12)/I12)</f>
        <v>1.46938775510204</v>
      </c>
      <c r="K12" s="9" t="n">
        <f aca="false">IF(J12=0,0,(J12-MIN(J$5:J$654))/(MAX(J$5:J$654)-MIN(J$5:J$654)))</f>
        <v>0.583090379008746</v>
      </c>
      <c r="L12" s="10" t="str">
        <f aca="false">IF(K12=0,"Very Low",IF(K12&gt;=0.6,"Very High",IF(K12&gt;=0.4,"High",IF(K12&gt;=0.2,"Moderate",IF(K12&gt;=0.1,"Low","Very Low")))))</f>
        <v>High</v>
      </c>
    </row>
    <row r="13" customFormat="false" ht="15" hidden="false" customHeight="false" outlineLevel="0" collapsed="false">
      <c r="A13" s="4" t="n">
        <v>9</v>
      </c>
      <c r="B13" s="4" t="n">
        <v>3</v>
      </c>
      <c r="C13" s="5" t="s">
        <v>39</v>
      </c>
      <c r="D13" s="4" t="s">
        <v>40</v>
      </c>
      <c r="E13" s="4" t="s">
        <v>20</v>
      </c>
      <c r="F13" s="6" t="s">
        <v>25</v>
      </c>
      <c r="G13" s="7" t="n">
        <v>0.86</v>
      </c>
      <c r="H13" s="7" t="n">
        <v>0.75</v>
      </c>
      <c r="I13" s="7" t="n">
        <v>0.29</v>
      </c>
      <c r="J13" s="8" t="n">
        <f aca="false">IF(I13=0,0,(G13*H13)/I13)</f>
        <v>2.22413793103448</v>
      </c>
      <c r="K13" s="9" t="n">
        <f aca="false">IF(J13=0,0,(J13-MIN(J$5:J$654))/(MAX(J$5:J$654)-MIN(J$5:J$654)))</f>
        <v>0.882594417077176</v>
      </c>
      <c r="L13" s="10" t="str">
        <f aca="false">IF(K13=0,"Very Low",IF(K13&gt;=0.6,"Very High",IF(K13&gt;=0.4,"High",IF(K13&gt;=0.2,"Moderate",IF(K13&gt;=0.1,"Low","Very Low")))))</f>
        <v>Very High</v>
      </c>
    </row>
    <row r="14" customFormat="false" ht="15" hidden="false" customHeight="false" outlineLevel="0" collapsed="false">
      <c r="A14" s="4" t="n">
        <v>10</v>
      </c>
      <c r="B14" s="4" t="n">
        <v>4</v>
      </c>
      <c r="C14" s="5" t="s">
        <v>41</v>
      </c>
      <c r="D14" s="4" t="s">
        <v>40</v>
      </c>
      <c r="E14" s="4" t="s">
        <v>20</v>
      </c>
      <c r="F14" s="6" t="s">
        <v>21</v>
      </c>
      <c r="G14" s="7" t="n">
        <v>0.61</v>
      </c>
      <c r="H14" s="7" t="n">
        <v>0.77</v>
      </c>
      <c r="I14" s="7" t="n">
        <v>0.32</v>
      </c>
      <c r="J14" s="8" t="n">
        <f aca="false">IF(I14=0,0,(G14*H14)/I14)</f>
        <v>1.4678125</v>
      </c>
      <c r="K14" s="9" t="n">
        <f aca="false">IF(J14=0,0,(J14-MIN(J$5:J$654))/(MAX(J$5:J$654)-MIN(J$5:J$654)))</f>
        <v>0.582465277777778</v>
      </c>
      <c r="L14" s="10" t="str">
        <f aca="false">IF(K14=0,"Very Low",IF(K14&gt;=0.6,"Very High",IF(K14&gt;=0.4,"High",IF(K14&gt;=0.2,"Moderate",IF(K14&gt;=0.1,"Low","Very Low")))))</f>
        <v>High</v>
      </c>
    </row>
    <row r="15" customFormat="false" ht="15" hidden="false" customHeight="false" outlineLevel="0" collapsed="false">
      <c r="A15" s="4" t="n">
        <v>11</v>
      </c>
      <c r="B15" s="4" t="n">
        <v>4</v>
      </c>
      <c r="C15" s="5" t="s">
        <v>42</v>
      </c>
      <c r="D15" s="4" t="s">
        <v>40</v>
      </c>
      <c r="E15" s="4" t="s">
        <v>20</v>
      </c>
      <c r="F15" s="6" t="s">
        <v>25</v>
      </c>
      <c r="G15" s="7" t="n">
        <v>0.97</v>
      </c>
      <c r="H15" s="7" t="n">
        <v>0.71</v>
      </c>
      <c r="I15" s="7" t="n">
        <v>0.31</v>
      </c>
      <c r="J15" s="8" t="n">
        <f aca="false">IF(I15=0,0,(G15*H15)/I15)</f>
        <v>2.22161290322581</v>
      </c>
      <c r="K15" s="9" t="n">
        <f aca="false">IF(J15=0,0,(J15-MIN(J$5:J$654))/(MAX(J$5:J$654)-MIN(J$5:J$654)))</f>
        <v>0.881592421915003</v>
      </c>
      <c r="L15" s="10" t="str">
        <f aca="false">IF(K15=0,"Very Low",IF(K15&gt;=0.6,"Very High",IF(K15&gt;=0.4,"High",IF(K15&gt;=0.2,"Moderate",IF(K15&gt;=0.1,"Low","Very Low")))))</f>
        <v>Very High</v>
      </c>
    </row>
    <row r="16" customFormat="false" ht="15" hidden="false" customHeight="false" outlineLevel="0" collapsed="false">
      <c r="A16" s="4" t="n">
        <v>12</v>
      </c>
      <c r="B16" s="4" t="n">
        <v>5</v>
      </c>
      <c r="C16" s="5" t="s">
        <v>43</v>
      </c>
      <c r="D16" s="4" t="s">
        <v>44</v>
      </c>
      <c r="E16" s="4" t="s">
        <v>30</v>
      </c>
      <c r="F16" s="6" t="s">
        <v>31</v>
      </c>
      <c r="G16" s="7" t="n">
        <v>0.99</v>
      </c>
      <c r="H16" s="7" t="n">
        <v>0.69</v>
      </c>
      <c r="I16" s="7" t="n">
        <v>0.42</v>
      </c>
      <c r="J16" s="8" t="n">
        <f aca="false">IF(I16=0,0,(G16*H16)/I16)</f>
        <v>1.62642857142857</v>
      </c>
      <c r="K16" s="9" t="n">
        <f aca="false">IF(J16=0,0,(J16-MIN(J$5:J$654))/(MAX(J$5:J$654)-MIN(J$5:J$654)))</f>
        <v>0.645408163265306</v>
      </c>
      <c r="L16" s="10" t="str">
        <f aca="false">IF(K16=0,"Very Low",IF(K16&gt;=0.6,"Very High",IF(K16&gt;=0.4,"High",IF(K16&gt;=0.2,"Moderate",IF(K16&gt;=0.1,"Low","Very Low")))))</f>
        <v>Very High</v>
      </c>
    </row>
    <row r="17" customFormat="false" ht="15" hidden="false" customHeight="false" outlineLevel="0" collapsed="false">
      <c r="A17" s="4" t="n">
        <v>13</v>
      </c>
      <c r="B17" s="4" t="n">
        <v>6</v>
      </c>
      <c r="C17" s="5" t="s">
        <v>45</v>
      </c>
      <c r="D17" s="4" t="s">
        <v>40</v>
      </c>
      <c r="E17" s="4" t="s">
        <v>20</v>
      </c>
      <c r="F17" s="6" t="s">
        <v>17</v>
      </c>
      <c r="G17" s="7" t="n">
        <v>0.81</v>
      </c>
      <c r="H17" s="7" t="n">
        <v>0.95</v>
      </c>
      <c r="I17" s="7" t="n">
        <v>0.33</v>
      </c>
      <c r="J17" s="8" t="n">
        <f aca="false">IF(I17=0,0,(G17*H17)/I17)</f>
        <v>2.33181818181818</v>
      </c>
      <c r="K17" s="9" t="n">
        <f aca="false">IF(J17=0,0,(J17-MIN(J$5:J$654))/(MAX(J$5:J$654)-MIN(J$5:J$654)))</f>
        <v>0.925324675324675</v>
      </c>
      <c r="L17" s="10" t="str">
        <f aca="false">IF(K17=0,"Very Low",IF(K17&gt;=0.6,"Very High",IF(K17&gt;=0.4,"High",IF(K17&gt;=0.2,"Moderate",IF(K17&gt;=0.1,"Low","Very Low")))))</f>
        <v>Very High</v>
      </c>
    </row>
    <row r="18" customFormat="false" ht="15" hidden="false" customHeight="false" outlineLevel="0" collapsed="false">
      <c r="A18" s="4" t="n">
        <v>14</v>
      </c>
      <c r="B18" s="4" t="n">
        <v>7</v>
      </c>
      <c r="C18" s="5" t="s">
        <v>46</v>
      </c>
      <c r="D18" s="4" t="s">
        <v>40</v>
      </c>
      <c r="E18" s="4" t="s">
        <v>20</v>
      </c>
      <c r="F18" s="6" t="s">
        <v>27</v>
      </c>
      <c r="G18" s="7" t="n">
        <v>0.925</v>
      </c>
      <c r="H18" s="7" t="n">
        <v>0.81</v>
      </c>
      <c r="I18" s="7" t="n">
        <v>0.35</v>
      </c>
      <c r="J18" s="8" t="n">
        <f aca="false">IF(I18=0,0,(G18*H18)/I18)</f>
        <v>2.14071428571429</v>
      </c>
      <c r="K18" s="9" t="n">
        <f aca="false">IF(J18=0,0,(J18-MIN(J$5:J$654))/(MAX(J$5:J$654)-MIN(J$5:J$654)))</f>
        <v>0.849489795918368</v>
      </c>
      <c r="L18" s="10" t="str">
        <f aca="false">IF(K18=0,"Very Low",IF(K18&gt;=0.6,"Very High",IF(K18&gt;=0.4,"High",IF(K18&gt;=0.2,"Moderate",IF(K18&gt;=0.1,"Low","Very Low")))))</f>
        <v>Very High</v>
      </c>
    </row>
    <row r="19" customFormat="false" ht="15" hidden="false" customHeight="false" outlineLevel="0" collapsed="false">
      <c r="A19" s="4" t="n">
        <v>15</v>
      </c>
      <c r="B19" s="4" t="n">
        <v>8</v>
      </c>
      <c r="C19" s="5" t="s">
        <v>47</v>
      </c>
      <c r="D19" s="4" t="s">
        <v>40</v>
      </c>
      <c r="E19" s="4" t="s">
        <v>20</v>
      </c>
      <c r="F19" s="6" t="s">
        <v>17</v>
      </c>
      <c r="G19" s="7" t="n">
        <v>0.78</v>
      </c>
      <c r="H19" s="7" t="n">
        <v>0.99</v>
      </c>
      <c r="I19" s="7" t="n">
        <v>0.31</v>
      </c>
      <c r="J19" s="8" t="n">
        <f aca="false">IF(I19=0,0,(G19*H19)/I19)</f>
        <v>2.49096774193548</v>
      </c>
      <c r="K19" s="9" t="n">
        <f aca="false">IF(J19=0,0,(J19-MIN(J$5:J$654))/(MAX(J$5:J$654)-MIN(J$5:J$654)))</f>
        <v>0.988479262672811</v>
      </c>
      <c r="L19" s="10" t="str">
        <f aca="false">IF(K19=0,"Very Low",IF(K19&gt;=0.6,"Very High",IF(K19&gt;=0.4,"High",IF(K19&gt;=0.2,"Moderate",IF(K19&gt;=0.1,"Low","Very Low")))))</f>
        <v>Very High</v>
      </c>
    </row>
    <row r="20" customFormat="false" ht="15" hidden="false" customHeight="false" outlineLevel="0" collapsed="false">
      <c r="A20" s="4" t="n">
        <v>16</v>
      </c>
      <c r="B20" s="4" t="n">
        <v>9</v>
      </c>
      <c r="C20" s="5" t="s">
        <v>48</v>
      </c>
      <c r="D20" s="4" t="s">
        <v>40</v>
      </c>
      <c r="E20" s="4" t="s">
        <v>20</v>
      </c>
      <c r="F20" s="6" t="s">
        <v>17</v>
      </c>
      <c r="G20" s="7" t="n">
        <v>0.7</v>
      </c>
      <c r="H20" s="7" t="n">
        <v>0.98</v>
      </c>
      <c r="I20" s="7" t="n">
        <v>0.3</v>
      </c>
      <c r="J20" s="8" t="n">
        <f aca="false">IF(I20=0,0,(G20*H20)/I20)</f>
        <v>2.28666666666667</v>
      </c>
      <c r="K20" s="9" t="n">
        <f aca="false">IF(J20=0,0,(J20-MIN(J$5:J$654))/(MAX(J$5:J$654)-MIN(J$5:J$654)))</f>
        <v>0.907407407407407</v>
      </c>
      <c r="L20" s="10" t="str">
        <f aca="false">IF(K20=0,"Very Low",IF(K20&gt;=0.6,"Very High",IF(K20&gt;=0.4,"High",IF(K20&gt;=0.2,"Moderate",IF(K20&gt;=0.1,"Low","Very Low")))))</f>
        <v>Very High</v>
      </c>
    </row>
    <row r="21" customFormat="false" ht="15" hidden="false" customHeight="false" outlineLevel="0" collapsed="false">
      <c r="A21" s="4" t="n">
        <v>17</v>
      </c>
      <c r="B21" s="4" t="n">
        <v>10</v>
      </c>
      <c r="C21" s="5" t="s">
        <v>49</v>
      </c>
      <c r="D21" s="4" t="s">
        <v>15</v>
      </c>
      <c r="E21" s="4" t="s">
        <v>16</v>
      </c>
      <c r="F21" s="6" t="s">
        <v>17</v>
      </c>
      <c r="G21" s="7" t="n">
        <v>0.95</v>
      </c>
      <c r="H21" s="7" t="n">
        <v>0.87</v>
      </c>
      <c r="I21" s="7" t="n">
        <v>0.41</v>
      </c>
      <c r="J21" s="8" t="n">
        <f aca="false">IF(I21=0,0,(G21*H21)/I21)</f>
        <v>2.01585365853659</v>
      </c>
      <c r="K21" s="9" t="n">
        <f aca="false">IF(J21=0,0,(J21-MIN(J$5:J$654))/(MAX(J$5:J$654)-MIN(J$5:J$654)))</f>
        <v>0.799941927990709</v>
      </c>
      <c r="L21" s="10" t="str">
        <f aca="false">IF(K21=0,"Very Low",IF(K21&gt;=0.6,"Very High",IF(K21&gt;=0.4,"High",IF(K21&gt;=0.2,"Moderate",IF(K21&gt;=0.1,"Low","Very Low")))))</f>
        <v>Very High</v>
      </c>
    </row>
    <row r="22" customFormat="false" ht="15" hidden="false" customHeight="false" outlineLevel="0" collapsed="false">
      <c r="A22" s="4" t="n">
        <v>18</v>
      </c>
      <c r="B22" s="4" t="n">
        <v>11</v>
      </c>
      <c r="C22" s="5" t="s">
        <v>50</v>
      </c>
      <c r="D22" s="4" t="s">
        <v>44</v>
      </c>
      <c r="E22" s="4" t="s">
        <v>30</v>
      </c>
      <c r="F22" s="6" t="s">
        <v>31</v>
      </c>
      <c r="G22" s="7" t="n">
        <v>0.99</v>
      </c>
      <c r="H22" s="7" t="n">
        <v>0.73</v>
      </c>
      <c r="I22" s="7" t="n">
        <v>0.48</v>
      </c>
      <c r="J22" s="8" t="n">
        <f aca="false">IF(I22=0,0,(G22*H22)/I22)</f>
        <v>1.505625</v>
      </c>
      <c r="K22" s="9" t="n">
        <f aca="false">IF(J22=0,0,(J22-MIN(J$5:J$654))/(MAX(J$5:J$654)-MIN(J$5:J$654)))</f>
        <v>0.597470238095238</v>
      </c>
      <c r="L22" s="10" t="str">
        <f aca="false">IF(K22=0,"Very Low",IF(K22&gt;=0.6,"Very High",IF(K22&gt;=0.4,"High",IF(K22&gt;=0.2,"Moderate",IF(K22&gt;=0.1,"Low","Very Low")))))</f>
        <v>High</v>
      </c>
    </row>
    <row r="23" customFormat="false" ht="15" hidden="false" customHeight="false" outlineLevel="0" collapsed="false">
      <c r="A23" s="4" t="n">
        <v>19</v>
      </c>
      <c r="B23" s="4" t="n">
        <v>12</v>
      </c>
      <c r="C23" s="5" t="s">
        <v>51</v>
      </c>
      <c r="D23" s="4" t="s">
        <v>44</v>
      </c>
      <c r="E23" s="4" t="s">
        <v>30</v>
      </c>
      <c r="F23" s="6" t="s">
        <v>34</v>
      </c>
      <c r="G23" s="7" t="n">
        <v>0.818</v>
      </c>
      <c r="H23" s="7" t="n">
        <v>1</v>
      </c>
      <c r="I23" s="7" t="n">
        <v>0.42</v>
      </c>
      <c r="J23" s="8" t="n">
        <f aca="false">IF(I23=0,0,(G23*H23)/I23)</f>
        <v>1.94761904761905</v>
      </c>
      <c r="K23" s="9" t="n">
        <f aca="false">IF(J23=0,0,(J23-MIN(J$5:J$654))/(MAX(J$5:J$654)-MIN(J$5:J$654)))</f>
        <v>0.77286470143613</v>
      </c>
      <c r="L23" s="10" t="str">
        <f aca="false">IF(K23=0,"Very Low",IF(K23&gt;=0.6,"Very High",IF(K23&gt;=0.4,"High",IF(K23&gt;=0.2,"Moderate",IF(K23&gt;=0.1,"Low","Very Low")))))</f>
        <v>Very High</v>
      </c>
    </row>
    <row r="24" customFormat="false" ht="15" hidden="false" customHeight="false" outlineLevel="0" collapsed="false">
      <c r="A24" s="4" t="n">
        <v>20</v>
      </c>
      <c r="B24" s="4" t="n">
        <v>13</v>
      </c>
      <c r="C24" s="5" t="s">
        <v>52</v>
      </c>
      <c r="D24" s="4" t="s">
        <v>15</v>
      </c>
      <c r="E24" s="4" t="s">
        <v>16</v>
      </c>
      <c r="F24" s="6" t="s">
        <v>25</v>
      </c>
      <c r="G24" s="7" t="n">
        <v>0.96</v>
      </c>
      <c r="H24" s="7" t="n">
        <v>0.8</v>
      </c>
      <c r="I24" s="7" t="n">
        <v>0.38</v>
      </c>
      <c r="J24" s="8" t="n">
        <f aca="false">IF(I24=0,0,(G24*H24)/I24)</f>
        <v>2.02105263157895</v>
      </c>
      <c r="K24" s="9" t="n">
        <f aca="false">IF(J24=0,0,(J24-MIN(J$5:J$654))/(MAX(J$5:J$654)-MIN(J$5:J$654)))</f>
        <v>0.802005012531328</v>
      </c>
      <c r="L24" s="10" t="str">
        <f aca="false">IF(K24=0,"Very Low",IF(K24&gt;=0.6,"Very High",IF(K24&gt;=0.4,"High",IF(K24&gt;=0.2,"Moderate",IF(K24&gt;=0.1,"Low","Very Low")))))</f>
        <v>Very High</v>
      </c>
    </row>
    <row r="25" customFormat="false" ht="15" hidden="false" customHeight="false" outlineLevel="0" collapsed="false">
      <c r="A25" s="4" t="n">
        <v>21</v>
      </c>
      <c r="B25" s="4" t="n">
        <v>14</v>
      </c>
      <c r="C25" s="5" t="s">
        <v>53</v>
      </c>
      <c r="D25" s="4" t="s">
        <v>23</v>
      </c>
      <c r="E25" s="4" t="s">
        <v>24</v>
      </c>
      <c r="F25" s="6" t="s">
        <v>25</v>
      </c>
      <c r="G25" s="7" t="n">
        <v>0.63</v>
      </c>
      <c r="H25" s="7" t="n">
        <v>1</v>
      </c>
      <c r="I25" s="7" t="n">
        <v>0.32</v>
      </c>
      <c r="J25" s="8" t="n">
        <f aca="false">IF(I25=0,0,(G25*H25)/I25)</f>
        <v>1.96875</v>
      </c>
      <c r="K25" s="9" t="n">
        <f aca="false">IF(J25=0,0,(J25-MIN(J$5:J$654))/(MAX(J$5:J$654)-MIN(J$5:J$654)))</f>
        <v>0.78125</v>
      </c>
      <c r="L25" s="10" t="str">
        <f aca="false">IF(K25=0,"Very Low",IF(K25&gt;=0.6,"Very High",IF(K25&gt;=0.4,"High",IF(K25&gt;=0.2,"Moderate",IF(K25&gt;=0.1,"Low","Very Low")))))</f>
        <v>Very High</v>
      </c>
    </row>
    <row r="26" customFormat="false" ht="15" hidden="false" customHeight="false" outlineLevel="0" collapsed="false">
      <c r="A26" s="4" t="n">
        <v>22</v>
      </c>
      <c r="B26" s="4" t="n">
        <v>15</v>
      </c>
      <c r="C26" s="5" t="s">
        <v>54</v>
      </c>
      <c r="D26" s="4" t="s">
        <v>29</v>
      </c>
      <c r="E26" s="4" t="s">
        <v>30</v>
      </c>
      <c r="F26" s="6" t="s">
        <v>31</v>
      </c>
      <c r="G26" s="7" t="n">
        <v>0.96</v>
      </c>
      <c r="H26" s="7" t="n">
        <v>0.65</v>
      </c>
      <c r="I26" s="7" t="n">
        <v>0.44</v>
      </c>
      <c r="J26" s="8" t="n">
        <f aca="false">IF(I26=0,0,(G26*H26)/I26)</f>
        <v>1.41818181818182</v>
      </c>
      <c r="K26" s="9" t="n">
        <f aca="false">IF(J26=0,0,(J26-MIN(J$5:J$654))/(MAX(J$5:J$654)-MIN(J$5:J$654)))</f>
        <v>0.562770562770563</v>
      </c>
      <c r="L26" s="10" t="str">
        <f aca="false">IF(K26=0,"Very Low",IF(K26&gt;=0.6,"Very High",IF(K26&gt;=0.4,"High",IF(K26&gt;=0.2,"Moderate",IF(K26&gt;=0.1,"Low","Very Low")))))</f>
        <v>High</v>
      </c>
    </row>
    <row r="27" customFormat="false" ht="15" hidden="false" customHeight="false" outlineLevel="0" collapsed="false">
      <c r="A27" s="4" t="n">
        <v>23</v>
      </c>
      <c r="B27" s="4" t="n">
        <v>16</v>
      </c>
      <c r="C27" s="5" t="s">
        <v>55</v>
      </c>
      <c r="D27" s="4" t="s">
        <v>15</v>
      </c>
      <c r="E27" s="4" t="s">
        <v>16</v>
      </c>
      <c r="F27" s="6" t="s">
        <v>17</v>
      </c>
      <c r="G27" s="7" t="n">
        <v>0.98</v>
      </c>
      <c r="H27" s="7" t="n">
        <v>0.88</v>
      </c>
      <c r="I27" s="7" t="n">
        <v>0.43</v>
      </c>
      <c r="J27" s="8" t="n">
        <f aca="false">IF(I27=0,0,(G27*H27)/I27)</f>
        <v>2.00558139534884</v>
      </c>
      <c r="K27" s="9" t="n">
        <f aca="false">IF(J27=0,0,(J27-MIN(J$5:J$654))/(MAX(J$5:J$654)-MIN(J$5:J$654)))</f>
        <v>0.795865633074935</v>
      </c>
      <c r="L27" s="10" t="str">
        <f aca="false">IF(K27=0,"Very Low",IF(K27&gt;=0.6,"Very High",IF(K27&gt;=0.4,"High",IF(K27&gt;=0.2,"Moderate",IF(K27&gt;=0.1,"Low","Very Low")))))</f>
        <v>Very High</v>
      </c>
    </row>
    <row r="28" customFormat="false" ht="15" hidden="false" customHeight="false" outlineLevel="0" collapsed="false">
      <c r="A28" s="4" t="n">
        <v>24</v>
      </c>
      <c r="B28" s="4" t="n">
        <v>17</v>
      </c>
      <c r="C28" s="5" t="s">
        <v>56</v>
      </c>
      <c r="D28" s="4" t="s">
        <v>19</v>
      </c>
      <c r="E28" s="4" t="s">
        <v>20</v>
      </c>
      <c r="F28" s="6" t="s">
        <v>21</v>
      </c>
      <c r="G28" s="7" t="n">
        <v>0.83</v>
      </c>
      <c r="H28" s="7" t="n">
        <v>0.84</v>
      </c>
      <c r="I28" s="7" t="n">
        <v>0.56</v>
      </c>
      <c r="J28" s="8" t="n">
        <f aca="false">IF(I28=0,0,(G28*H28)/I28)</f>
        <v>1.245</v>
      </c>
      <c r="K28" s="9" t="n">
        <f aca="false">IF(J28=0,0,(J28-MIN(J$5:J$654))/(MAX(J$5:J$654)-MIN(J$5:J$654)))</f>
        <v>0.494047619047619</v>
      </c>
      <c r="L28" s="10" t="str">
        <f aca="false">IF(K28=0,"Very Low",IF(K28&gt;=0.6,"Very High",IF(K28&gt;=0.4,"High",IF(K28&gt;=0.2,"Moderate",IF(K28&gt;=0.1,"Low","Very Low")))))</f>
        <v>High</v>
      </c>
    </row>
    <row r="29" customFormat="false" ht="15" hidden="false" customHeight="false" outlineLevel="0" collapsed="false">
      <c r="A29" s="4" t="n">
        <v>25</v>
      </c>
      <c r="B29" s="4" t="n">
        <v>18</v>
      </c>
      <c r="C29" s="5" t="s">
        <v>57</v>
      </c>
      <c r="D29" s="4" t="s">
        <v>15</v>
      </c>
      <c r="E29" s="4" t="s">
        <v>16</v>
      </c>
      <c r="F29" s="6" t="s">
        <v>17</v>
      </c>
      <c r="G29" s="7" t="n">
        <v>0.95</v>
      </c>
      <c r="H29" s="7" t="n">
        <v>0.98</v>
      </c>
      <c r="I29" s="7" t="n">
        <v>0.44</v>
      </c>
      <c r="J29" s="8" t="n">
        <f aca="false">IF(I29=0,0,(G29*H29)/I29)</f>
        <v>2.11590909090909</v>
      </c>
      <c r="K29" s="9" t="n">
        <f aca="false">IF(J29=0,0,(J29-MIN(J$5:J$654))/(MAX(J$5:J$654)-MIN(J$5:J$654)))</f>
        <v>0.839646464646465</v>
      </c>
      <c r="L29" s="10" t="str">
        <f aca="false">IF(K29=0,"Very Low",IF(K29&gt;=0.6,"Very High",IF(K29&gt;=0.4,"High",IF(K29&gt;=0.2,"Moderate",IF(K29&gt;=0.1,"Low","Very Low")))))</f>
        <v>Very High</v>
      </c>
    </row>
    <row r="30" customFormat="false" ht="15" hidden="false" customHeight="false" outlineLevel="0" collapsed="false">
      <c r="A30" s="4" t="n">
        <v>26</v>
      </c>
      <c r="B30" s="4" t="n">
        <v>19</v>
      </c>
      <c r="C30" s="5" t="s">
        <v>58</v>
      </c>
      <c r="D30" s="4" t="s">
        <v>59</v>
      </c>
      <c r="E30" s="4" t="s">
        <v>60</v>
      </c>
      <c r="F30" s="6" t="s">
        <v>31</v>
      </c>
      <c r="G30" s="7" t="n">
        <v>0.82</v>
      </c>
      <c r="H30" s="7" t="n">
        <v>0.62</v>
      </c>
      <c r="I30" s="7" t="n">
        <v>0.37</v>
      </c>
      <c r="J30" s="8" t="n">
        <f aca="false">IF(I30=0,0,(G30*H30)/I30)</f>
        <v>1.37405405405405</v>
      </c>
      <c r="K30" s="9" t="n">
        <f aca="false">IF(J30=0,0,(J30-MIN(J$5:J$654))/(MAX(J$5:J$654)-MIN(J$5:J$654)))</f>
        <v>0.545259545259545</v>
      </c>
      <c r="L30" s="10" t="str">
        <f aca="false">IF(K30=0,"Very Low",IF(K30&gt;=0.6,"Very High",IF(K30&gt;=0.4,"High",IF(K30&gt;=0.2,"Moderate",IF(K30&gt;=0.1,"Low","Very Low")))))</f>
        <v>High</v>
      </c>
    </row>
    <row r="31" customFormat="false" ht="15" hidden="false" customHeight="false" outlineLevel="0" collapsed="false">
      <c r="A31" s="4" t="n">
        <v>27</v>
      </c>
      <c r="B31" s="4" t="n">
        <v>20</v>
      </c>
      <c r="C31" s="5" t="s">
        <v>61</v>
      </c>
      <c r="D31" s="4" t="s">
        <v>19</v>
      </c>
      <c r="E31" s="4" t="s">
        <v>20</v>
      </c>
      <c r="F31" s="6" t="s">
        <v>27</v>
      </c>
      <c r="G31" s="7" t="n">
        <v>0.95</v>
      </c>
      <c r="H31" s="7" t="n">
        <v>0.9</v>
      </c>
      <c r="I31" s="7" t="n">
        <v>0.48</v>
      </c>
      <c r="J31" s="8" t="n">
        <f aca="false">IF(I31=0,0,(G31*H31)/I31)</f>
        <v>1.78125</v>
      </c>
      <c r="K31" s="9" t="n">
        <f aca="false">IF(J31=0,0,(J31-MIN(J$5:J$654))/(MAX(J$5:J$654)-MIN(J$5:J$654)))</f>
        <v>0.706845238095238</v>
      </c>
      <c r="L31" s="10" t="str">
        <f aca="false">IF(K31=0,"Very Low",IF(K31&gt;=0.6,"Very High",IF(K31&gt;=0.4,"High",IF(K31&gt;=0.2,"Moderate",IF(K31&gt;=0.1,"Low","Very Low")))))</f>
        <v>Very High</v>
      </c>
    </row>
    <row r="32" customFormat="false" ht="15" hidden="false" customHeight="false" outlineLevel="0" collapsed="false">
      <c r="A32" s="4" t="n">
        <v>28</v>
      </c>
      <c r="B32" s="4" t="n">
        <v>21</v>
      </c>
      <c r="C32" s="5" t="s">
        <v>62</v>
      </c>
      <c r="D32" s="4" t="s">
        <v>40</v>
      </c>
      <c r="E32" s="4" t="s">
        <v>20</v>
      </c>
      <c r="F32" s="6" t="s">
        <v>17</v>
      </c>
      <c r="G32" s="7" t="n">
        <v>0.59</v>
      </c>
      <c r="H32" s="7" t="n">
        <v>0.97</v>
      </c>
      <c r="I32" s="7" t="n">
        <v>0.29</v>
      </c>
      <c r="J32" s="8" t="n">
        <f aca="false">IF(I32=0,0,(G32*H32)/I32)</f>
        <v>1.97344827586207</v>
      </c>
      <c r="K32" s="9" t="n">
        <f aca="false">IF(J32=0,0,(J32-MIN(J$5:J$654))/(MAX(J$5:J$654)-MIN(J$5:J$654)))</f>
        <v>0.783114395183361</v>
      </c>
      <c r="L32" s="10" t="str">
        <f aca="false">IF(K32=0,"Very Low",IF(K32&gt;=0.6,"Very High",IF(K32&gt;=0.4,"High",IF(K32&gt;=0.2,"Moderate",IF(K32&gt;=0.1,"Low","Very Low")))))</f>
        <v>Very High</v>
      </c>
    </row>
    <row r="33" customFormat="false" ht="15" hidden="false" customHeight="false" outlineLevel="0" collapsed="false">
      <c r="A33" s="4" t="n">
        <v>29</v>
      </c>
      <c r="B33" s="4" t="n">
        <v>22</v>
      </c>
      <c r="C33" s="5" t="s">
        <v>63</v>
      </c>
      <c r="D33" s="4" t="s">
        <v>29</v>
      </c>
      <c r="E33" s="4" t="s">
        <v>30</v>
      </c>
      <c r="F33" s="6" t="s">
        <v>31</v>
      </c>
      <c r="G33" s="7" t="n">
        <v>0.82</v>
      </c>
      <c r="H33" s="7" t="n">
        <v>0.75</v>
      </c>
      <c r="I33" s="7" t="n">
        <v>0.47</v>
      </c>
      <c r="J33" s="8" t="n">
        <f aca="false">IF(I33=0,0,(G33*H33)/I33)</f>
        <v>1.30851063829787</v>
      </c>
      <c r="K33" s="9" t="n">
        <f aca="false">IF(J33=0,0,(J33-MIN(J$5:J$654))/(MAX(J$5:J$654)-MIN(J$5:J$654)))</f>
        <v>0.519250253292807</v>
      </c>
      <c r="L33" s="10" t="str">
        <f aca="false">IF(K33=0,"Very Low",IF(K33&gt;=0.6,"Very High",IF(K33&gt;=0.4,"High",IF(K33&gt;=0.2,"Moderate",IF(K33&gt;=0.1,"Low","Very Low")))))</f>
        <v>High</v>
      </c>
    </row>
    <row r="34" customFormat="false" ht="15" hidden="false" customHeight="false" outlineLevel="0" collapsed="false">
      <c r="A34" s="4" t="n">
        <v>30</v>
      </c>
      <c r="B34" s="4" t="n">
        <v>23</v>
      </c>
      <c r="C34" s="5" t="s">
        <v>64</v>
      </c>
      <c r="D34" s="4" t="s">
        <v>36</v>
      </c>
      <c r="E34" s="4" t="s">
        <v>24</v>
      </c>
      <c r="F34" s="6" t="s">
        <v>25</v>
      </c>
      <c r="G34" s="7" t="n">
        <v>0.89</v>
      </c>
      <c r="H34" s="7" t="n">
        <v>0.72</v>
      </c>
      <c r="I34" s="7" t="n">
        <v>0.36</v>
      </c>
      <c r="J34" s="8" t="n">
        <f aca="false">IF(I34=0,0,(G34*H34)/I34)</f>
        <v>1.78</v>
      </c>
      <c r="K34" s="9" t="n">
        <f aca="false">IF(J34=0,0,(J34-MIN(J$5:J$654))/(MAX(J$5:J$654)-MIN(J$5:J$654)))</f>
        <v>0.706349206349206</v>
      </c>
      <c r="L34" s="10" t="str">
        <f aca="false">IF(K34=0,"Very Low",IF(K34&gt;=0.6,"Very High",IF(K34&gt;=0.4,"High",IF(K34&gt;=0.2,"Moderate",IF(K34&gt;=0.1,"Low","Very Low")))))</f>
        <v>Very High</v>
      </c>
    </row>
    <row r="35" customFormat="false" ht="15" hidden="false" customHeight="false" outlineLevel="0" collapsed="false">
      <c r="A35" s="4" t="n">
        <v>31</v>
      </c>
      <c r="B35" s="4" t="n">
        <v>24</v>
      </c>
      <c r="C35" s="5" t="s">
        <v>65</v>
      </c>
      <c r="D35" s="4" t="s">
        <v>15</v>
      </c>
      <c r="E35" s="4" t="s">
        <v>16</v>
      </c>
      <c r="F35" s="6" t="s">
        <v>17</v>
      </c>
      <c r="G35" s="7" t="n">
        <v>0.94</v>
      </c>
      <c r="H35" s="7" t="n">
        <v>0.87</v>
      </c>
      <c r="I35" s="7" t="n">
        <v>0.44</v>
      </c>
      <c r="J35" s="8" t="n">
        <f aca="false">IF(I35=0,0,(G35*H35)/I35)</f>
        <v>1.85863636363636</v>
      </c>
      <c r="K35" s="9" t="n">
        <f aca="false">IF(J35=0,0,(J35-MIN(J$5:J$654))/(MAX(J$5:J$654)-MIN(J$5:J$654)))</f>
        <v>0.737554112554113</v>
      </c>
      <c r="L35" s="10" t="str">
        <f aca="false">IF(K35=0,"Very Low",IF(K35&gt;=0.6,"Very High",IF(K35&gt;=0.4,"High",IF(K35&gt;=0.2,"Moderate",IF(K35&gt;=0.1,"Low","Very Low")))))</f>
        <v>Very High</v>
      </c>
    </row>
    <row r="36" customFormat="false" ht="15" hidden="false" customHeight="false" outlineLevel="0" collapsed="false">
      <c r="A36" s="4" t="n">
        <v>32</v>
      </c>
      <c r="B36" s="4" t="n">
        <v>25</v>
      </c>
      <c r="C36" s="5" t="s">
        <v>66</v>
      </c>
      <c r="D36" s="4" t="s">
        <v>33</v>
      </c>
      <c r="E36" s="4" t="s">
        <v>24</v>
      </c>
      <c r="F36" s="6" t="s">
        <v>27</v>
      </c>
      <c r="G36" s="7" t="n">
        <v>0.75</v>
      </c>
      <c r="H36" s="7" t="n">
        <v>0.97</v>
      </c>
      <c r="I36" s="7" t="n">
        <v>0.42</v>
      </c>
      <c r="J36" s="8" t="n">
        <f aca="false">IF(I36=0,0,(G36*H36)/I36)</f>
        <v>1.73214285714286</v>
      </c>
      <c r="K36" s="9" t="n">
        <f aca="false">IF(J36=0,0,(J36-MIN(J$5:J$654))/(MAX(J$5:J$654)-MIN(J$5:J$654)))</f>
        <v>0.687358276643991</v>
      </c>
      <c r="L36" s="10" t="str">
        <f aca="false">IF(K36=0,"Very Low",IF(K36&gt;=0.6,"Very High",IF(K36&gt;=0.4,"High",IF(K36&gt;=0.2,"Moderate",IF(K36&gt;=0.1,"Low","Very Low")))))</f>
        <v>Very High</v>
      </c>
    </row>
    <row r="37" customFormat="false" ht="15" hidden="false" customHeight="false" outlineLevel="0" collapsed="false">
      <c r="A37" s="4" t="n">
        <v>33</v>
      </c>
      <c r="B37" s="4" t="n">
        <v>26</v>
      </c>
      <c r="C37" s="5" t="s">
        <v>67</v>
      </c>
      <c r="D37" s="4" t="s">
        <v>15</v>
      </c>
      <c r="E37" s="4" t="s">
        <v>16</v>
      </c>
      <c r="F37" s="6" t="s">
        <v>25</v>
      </c>
      <c r="G37" s="7" t="n">
        <v>0.86</v>
      </c>
      <c r="H37" s="7" t="n">
        <v>0.86</v>
      </c>
      <c r="I37" s="7" t="n">
        <v>0.42</v>
      </c>
      <c r="J37" s="8" t="n">
        <f aca="false">IF(I37=0,0,(G37*H37)/I37)</f>
        <v>1.76095238095238</v>
      </c>
      <c r="K37" s="9" t="n">
        <f aca="false">IF(J37=0,0,(J37-MIN(J$5:J$654))/(MAX(J$5:J$654)-MIN(J$5:J$654)))</f>
        <v>0.698790627362056</v>
      </c>
      <c r="L37" s="10" t="str">
        <f aca="false">IF(K37=0,"Very Low",IF(K37&gt;=0.6,"Very High",IF(K37&gt;=0.4,"High",IF(K37&gt;=0.2,"Moderate",IF(K37&gt;=0.1,"Low","Very Low")))))</f>
        <v>Very High</v>
      </c>
    </row>
    <row r="38" customFormat="false" ht="15" hidden="false" customHeight="false" outlineLevel="0" collapsed="false">
      <c r="A38" s="4" t="n">
        <v>34</v>
      </c>
      <c r="B38" s="4" t="n">
        <v>27</v>
      </c>
      <c r="C38" s="5" t="s">
        <v>68</v>
      </c>
      <c r="D38" s="4" t="s">
        <v>29</v>
      </c>
      <c r="E38" s="4" t="s">
        <v>30</v>
      </c>
      <c r="F38" s="6" t="s">
        <v>31</v>
      </c>
      <c r="G38" s="7" t="n">
        <v>0.82</v>
      </c>
      <c r="H38" s="7" t="n">
        <v>0.75</v>
      </c>
      <c r="I38" s="7" t="n">
        <v>0.48</v>
      </c>
      <c r="J38" s="8" t="n">
        <f aca="false">IF(I38=0,0,(G38*H38)/I38)</f>
        <v>1.28125</v>
      </c>
      <c r="K38" s="9" t="n">
        <f aca="false">IF(J38=0,0,(J38-MIN(J$5:J$654))/(MAX(J$5:J$654)-MIN(J$5:J$654)))</f>
        <v>0.50843253968254</v>
      </c>
      <c r="L38" s="10" t="str">
        <f aca="false">IF(K38=0,"Very Low",IF(K38&gt;=0.6,"Very High",IF(K38&gt;=0.4,"High",IF(K38&gt;=0.2,"Moderate",IF(K38&gt;=0.1,"Low","Very Low")))))</f>
        <v>High</v>
      </c>
    </row>
    <row r="39" customFormat="false" ht="15" hidden="false" customHeight="false" outlineLevel="0" collapsed="false">
      <c r="A39" s="4" t="n">
        <v>35</v>
      </c>
      <c r="B39" s="4" t="n">
        <v>27</v>
      </c>
      <c r="C39" s="5" t="s">
        <v>69</v>
      </c>
      <c r="D39" s="4" t="s">
        <v>19</v>
      </c>
      <c r="E39" s="4" t="s">
        <v>20</v>
      </c>
      <c r="F39" s="6" t="s">
        <v>27</v>
      </c>
      <c r="G39" s="7" t="n">
        <v>0.875</v>
      </c>
      <c r="H39" s="7" t="n">
        <v>0.92</v>
      </c>
      <c r="I39" s="7" t="n">
        <v>0.47</v>
      </c>
      <c r="J39" s="8" t="n">
        <f aca="false">IF(I39=0,0,(G39*H39)/I39)</f>
        <v>1.71276595744681</v>
      </c>
      <c r="K39" s="9" t="n">
        <f aca="false">IF(J39=0,0,(J39-MIN(J$5:J$654))/(MAX(J$5:J$654)-MIN(J$5:J$654)))</f>
        <v>0.679669030732861</v>
      </c>
      <c r="L39" s="10" t="str">
        <f aca="false">IF(K39=0,"Very Low",IF(K39&gt;=0.6,"Very High",IF(K39&gt;=0.4,"High",IF(K39&gt;=0.2,"Moderate",IF(K39&gt;=0.1,"Low","Very Low")))))</f>
        <v>Very High</v>
      </c>
    </row>
    <row r="40" customFormat="false" ht="15" hidden="false" customHeight="false" outlineLevel="0" collapsed="false">
      <c r="A40" s="4" t="n">
        <v>36</v>
      </c>
      <c r="B40" s="4" t="n">
        <v>28</v>
      </c>
      <c r="C40" s="5" t="s">
        <v>70</v>
      </c>
      <c r="D40" s="4" t="s">
        <v>29</v>
      </c>
      <c r="E40" s="4" t="s">
        <v>30</v>
      </c>
      <c r="F40" s="6" t="s">
        <v>21</v>
      </c>
      <c r="G40" s="7" t="n">
        <v>0.94</v>
      </c>
      <c r="H40" s="7" t="n">
        <v>0.76</v>
      </c>
      <c r="I40" s="7" t="n">
        <v>0.62</v>
      </c>
      <c r="J40" s="8" t="n">
        <f aca="false">IF(I40=0,0,(G40*H40)/I40)</f>
        <v>1.15225806451613</v>
      </c>
      <c r="K40" s="9" t="n">
        <f aca="false">IF(J40=0,0,(J40-MIN(J$5:J$654))/(MAX(J$5:J$654)-MIN(J$5:J$654)))</f>
        <v>0.457245263696877</v>
      </c>
      <c r="L40" s="10" t="str">
        <f aca="false">IF(K40=0,"Very Low",IF(K40&gt;=0.6,"Very High",IF(K40&gt;=0.4,"High",IF(K40&gt;=0.2,"Moderate",IF(K40&gt;=0.1,"Low","Very Low")))))</f>
        <v>High</v>
      </c>
    </row>
    <row r="41" customFormat="false" ht="15" hidden="false" customHeight="false" outlineLevel="0" collapsed="false">
      <c r="A41" s="4" t="n">
        <v>37</v>
      </c>
      <c r="B41" s="4" t="n">
        <v>29</v>
      </c>
      <c r="C41" s="5" t="s">
        <v>71</v>
      </c>
      <c r="D41" s="4" t="s">
        <v>15</v>
      </c>
      <c r="E41" s="4" t="s">
        <v>16</v>
      </c>
      <c r="F41" s="6" t="s">
        <v>17</v>
      </c>
      <c r="G41" s="7" t="n">
        <v>0.78</v>
      </c>
      <c r="H41" s="7" t="n">
        <v>0.86</v>
      </c>
      <c r="I41" s="7" t="n">
        <v>0.4</v>
      </c>
      <c r="J41" s="8" t="n">
        <f aca="false">IF(I41=0,0,(G41*H41)/I41)</f>
        <v>1.677</v>
      </c>
      <c r="K41" s="9" t="n">
        <f aca="false">IF(J41=0,0,(J41-MIN(J$5:J$654))/(MAX(J$5:J$654)-MIN(J$5:J$654)))</f>
        <v>0.66547619047619</v>
      </c>
      <c r="L41" s="10" t="str">
        <f aca="false">IF(K41=0,"Very Low",IF(K41&gt;=0.6,"Very High",IF(K41&gt;=0.4,"High",IF(K41&gt;=0.2,"Moderate",IF(K41&gt;=0.1,"Low","Very Low")))))</f>
        <v>Very High</v>
      </c>
    </row>
    <row r="42" customFormat="false" ht="15" hidden="false" customHeight="false" outlineLevel="0" collapsed="false">
      <c r="A42" s="4" t="n">
        <v>38</v>
      </c>
      <c r="B42" s="4" t="n">
        <v>30</v>
      </c>
      <c r="C42" s="5" t="s">
        <v>72</v>
      </c>
      <c r="D42" s="4" t="s">
        <v>44</v>
      </c>
      <c r="E42" s="4" t="s">
        <v>30</v>
      </c>
      <c r="F42" s="6" t="s">
        <v>31</v>
      </c>
      <c r="G42" s="7" t="n">
        <v>0.99</v>
      </c>
      <c r="H42" s="7" t="n">
        <v>0.57</v>
      </c>
      <c r="I42" s="7" t="n">
        <v>0.45</v>
      </c>
      <c r="J42" s="8" t="n">
        <f aca="false">IF(I42=0,0,(G42*H42)/I42)</f>
        <v>1.254</v>
      </c>
      <c r="K42" s="9" t="n">
        <f aca="false">IF(J42=0,0,(J42-MIN(J$5:J$654))/(MAX(J$5:J$654)-MIN(J$5:J$654)))</f>
        <v>0.497619047619048</v>
      </c>
      <c r="L42" s="10" t="str">
        <f aca="false">IF(K42=0,"Very Low",IF(K42&gt;=0.6,"Very High",IF(K42&gt;=0.4,"High",IF(K42&gt;=0.2,"Moderate",IF(K42&gt;=0.1,"Low","Very Low")))))</f>
        <v>High</v>
      </c>
    </row>
    <row r="43" customFormat="false" ht="15" hidden="false" customHeight="false" outlineLevel="0" collapsed="false">
      <c r="A43" s="4" t="n">
        <v>39</v>
      </c>
      <c r="B43" s="4" t="n">
        <v>31</v>
      </c>
      <c r="C43" s="5" t="s">
        <v>73</v>
      </c>
      <c r="D43" s="4" t="s">
        <v>74</v>
      </c>
      <c r="E43" s="4" t="s">
        <v>60</v>
      </c>
      <c r="F43" s="6" t="s">
        <v>17</v>
      </c>
      <c r="G43" s="7" t="n">
        <v>0.78</v>
      </c>
      <c r="H43" s="7" t="n">
        <v>0.95</v>
      </c>
      <c r="I43" s="7" t="n">
        <v>0.38</v>
      </c>
      <c r="J43" s="8" t="n">
        <f aca="false">IF(I43=0,0,(G43*H43)/I43)</f>
        <v>1.95</v>
      </c>
      <c r="K43" s="9" t="n">
        <f aca="false">IF(J43=0,0,(J43-MIN(J$5:J$654))/(MAX(J$5:J$654)-MIN(J$5:J$654)))</f>
        <v>0.773809523809524</v>
      </c>
      <c r="L43" s="10" t="str">
        <f aca="false">IF(K43=0,"Very Low",IF(K43&gt;=0.6,"Very High",IF(K43&gt;=0.4,"High",IF(K43&gt;=0.2,"Moderate",IF(K43&gt;=0.1,"Low","Very Low")))))</f>
        <v>Very High</v>
      </c>
    </row>
    <row r="44" customFormat="false" ht="15" hidden="false" customHeight="false" outlineLevel="0" collapsed="false">
      <c r="A44" s="4" t="n">
        <v>40</v>
      </c>
      <c r="B44" s="4" t="n">
        <v>32</v>
      </c>
      <c r="C44" s="5" t="s">
        <v>75</v>
      </c>
      <c r="D44" s="4" t="s">
        <v>15</v>
      </c>
      <c r="E44" s="4" t="s">
        <v>16</v>
      </c>
      <c r="F44" s="6" t="s">
        <v>17</v>
      </c>
      <c r="G44" s="7" t="n">
        <v>0.91</v>
      </c>
      <c r="H44" s="7" t="n">
        <v>0.87</v>
      </c>
      <c r="I44" s="7" t="n">
        <v>0.45</v>
      </c>
      <c r="J44" s="8" t="n">
        <f aca="false">IF(I44=0,0,(G44*H44)/I44)</f>
        <v>1.75933333333333</v>
      </c>
      <c r="K44" s="9" t="n">
        <f aca="false">IF(J44=0,0,(J44-MIN(J$5:J$654))/(MAX(J$5:J$654)-MIN(J$5:J$654)))</f>
        <v>0.698148148148148</v>
      </c>
      <c r="L44" s="10" t="str">
        <f aca="false">IF(K44=0,"Very Low",IF(K44&gt;=0.6,"Very High",IF(K44&gt;=0.4,"High",IF(K44&gt;=0.2,"Moderate",IF(K44&gt;=0.1,"Low","Very Low")))))</f>
        <v>Very High</v>
      </c>
    </row>
    <row r="45" customFormat="false" ht="15" hidden="false" customHeight="false" outlineLevel="0" collapsed="false">
      <c r="A45" s="4" t="n">
        <v>41</v>
      </c>
      <c r="B45" s="4" t="n">
        <v>33</v>
      </c>
      <c r="C45" s="5" t="s">
        <v>76</v>
      </c>
      <c r="D45" s="4" t="s">
        <v>19</v>
      </c>
      <c r="E45" s="4" t="s">
        <v>20</v>
      </c>
      <c r="F45" s="6" t="s">
        <v>27</v>
      </c>
      <c r="G45" s="7" t="n">
        <v>1</v>
      </c>
      <c r="H45" s="7" t="n">
        <v>0.74</v>
      </c>
      <c r="I45" s="7" t="n">
        <v>0.45</v>
      </c>
      <c r="J45" s="8" t="n">
        <f aca="false">IF(I45=0,0,(G45*H45)/I45)</f>
        <v>1.64444444444444</v>
      </c>
      <c r="K45" s="9" t="n">
        <f aca="false">IF(J45=0,0,(J45-MIN(J$5:J$654))/(MAX(J$5:J$654)-MIN(J$5:J$654)))</f>
        <v>0.652557319223986</v>
      </c>
      <c r="L45" s="10" t="str">
        <f aca="false">IF(K45=0,"Very Low",IF(K45&gt;=0.6,"Very High",IF(K45&gt;=0.4,"High",IF(K45&gt;=0.2,"Moderate",IF(K45&gt;=0.1,"Low","Very Low")))))</f>
        <v>Very High</v>
      </c>
    </row>
    <row r="46" customFormat="false" ht="15" hidden="false" customHeight="false" outlineLevel="0" collapsed="false">
      <c r="A46" s="4" t="n">
        <v>42</v>
      </c>
      <c r="B46" s="4" t="n">
        <v>34</v>
      </c>
      <c r="C46" s="5" t="s">
        <v>77</v>
      </c>
      <c r="D46" s="4" t="s">
        <v>44</v>
      </c>
      <c r="E46" s="4" t="s">
        <v>30</v>
      </c>
      <c r="F46" s="6" t="s">
        <v>31</v>
      </c>
      <c r="G46" s="7" t="n">
        <v>0.76</v>
      </c>
      <c r="H46" s="7" t="n">
        <v>0.63</v>
      </c>
      <c r="I46" s="7" t="n">
        <v>0.39</v>
      </c>
      <c r="J46" s="8" t="n">
        <f aca="false">IF(I46=0,0,(G46*H46)/I46)</f>
        <v>1.22769230769231</v>
      </c>
      <c r="K46" s="9" t="n">
        <f aca="false">IF(J46=0,0,(J46-MIN(J$5:J$654))/(MAX(J$5:J$654)-MIN(J$5:J$654)))</f>
        <v>0.487179487179487</v>
      </c>
      <c r="L46" s="10" t="str">
        <f aca="false">IF(K46=0,"Very Low",IF(K46&gt;=0.6,"Very High",IF(K46&gt;=0.4,"High",IF(K46&gt;=0.2,"Moderate",IF(K46&gt;=0.1,"Low","Very Low")))))</f>
        <v>High</v>
      </c>
    </row>
    <row r="47" customFormat="false" ht="15" hidden="false" customHeight="false" outlineLevel="0" collapsed="false">
      <c r="A47" s="4" t="n">
        <v>43</v>
      </c>
      <c r="B47" s="4" t="n">
        <v>35</v>
      </c>
      <c r="C47" s="5" t="s">
        <v>78</v>
      </c>
      <c r="D47" s="4" t="s">
        <v>79</v>
      </c>
      <c r="E47" s="4" t="s">
        <v>60</v>
      </c>
      <c r="F47" s="6" t="s">
        <v>17</v>
      </c>
      <c r="G47" s="7" t="n">
        <v>0.59</v>
      </c>
      <c r="H47" s="7" t="n">
        <v>0.96</v>
      </c>
      <c r="I47" s="7" t="n">
        <v>0.32</v>
      </c>
      <c r="J47" s="8" t="n">
        <f aca="false">IF(I47=0,0,(G47*H47)/I47)</f>
        <v>1.77</v>
      </c>
      <c r="K47" s="9" t="n">
        <f aca="false">IF(J47=0,0,(J47-MIN(J$5:J$654))/(MAX(J$5:J$654)-MIN(J$5:J$654)))</f>
        <v>0.702380952380952</v>
      </c>
      <c r="L47" s="10" t="str">
        <f aca="false">IF(K47=0,"Very Low",IF(K47&gt;=0.6,"Very High",IF(K47&gt;=0.4,"High",IF(K47&gt;=0.2,"Moderate",IF(K47&gt;=0.1,"Low","Very Low")))))</f>
        <v>Very High</v>
      </c>
    </row>
    <row r="48" customFormat="false" ht="15" hidden="false" customHeight="false" outlineLevel="0" collapsed="false">
      <c r="A48" s="4" t="n">
        <v>44</v>
      </c>
      <c r="B48" s="4" t="n">
        <v>36</v>
      </c>
      <c r="C48" s="5" t="s">
        <v>80</v>
      </c>
      <c r="D48" s="4" t="s">
        <v>15</v>
      </c>
      <c r="E48" s="4" t="s">
        <v>16</v>
      </c>
      <c r="F48" s="6" t="s">
        <v>17</v>
      </c>
      <c r="G48" s="7" t="n">
        <v>0.81</v>
      </c>
      <c r="H48" s="7" t="n">
        <v>0.87</v>
      </c>
      <c r="I48" s="7" t="n">
        <v>0.41</v>
      </c>
      <c r="J48" s="8" t="n">
        <f aca="false">IF(I48=0,0,(G48*H48)/I48)</f>
        <v>1.71878048780488</v>
      </c>
      <c r="K48" s="9" t="n">
        <f aca="false">IF(J48=0,0,(J48-MIN(J$5:J$654))/(MAX(J$5:J$654)-MIN(J$5:J$654)))</f>
        <v>0.68205574912892</v>
      </c>
      <c r="L48" s="10" t="str">
        <f aca="false">IF(K48=0,"Very Low",IF(K48&gt;=0.6,"Very High",IF(K48&gt;=0.4,"High",IF(K48&gt;=0.2,"Moderate",IF(K48&gt;=0.1,"Low","Very Low")))))</f>
        <v>Very High</v>
      </c>
    </row>
    <row r="49" customFormat="false" ht="15" hidden="false" customHeight="false" outlineLevel="0" collapsed="false">
      <c r="A49" s="4" t="n">
        <v>45</v>
      </c>
      <c r="B49" s="4" t="n">
        <v>37</v>
      </c>
      <c r="C49" s="5" t="s">
        <v>81</v>
      </c>
      <c r="D49" s="4" t="s">
        <v>29</v>
      </c>
      <c r="E49" s="4" t="s">
        <v>30</v>
      </c>
      <c r="F49" s="6" t="s">
        <v>31</v>
      </c>
      <c r="G49" s="7" t="n">
        <v>0.82</v>
      </c>
      <c r="H49" s="7" t="n">
        <v>0.65</v>
      </c>
      <c r="I49" s="7" t="n">
        <v>0.44</v>
      </c>
      <c r="J49" s="8" t="n">
        <f aca="false">IF(I49=0,0,(G49*H49)/I49)</f>
        <v>1.21136363636364</v>
      </c>
      <c r="K49" s="9" t="n">
        <f aca="false">IF(J49=0,0,(J49-MIN(J$5:J$654))/(MAX(J$5:J$654)-MIN(J$5:J$654)))</f>
        <v>0.480699855699856</v>
      </c>
      <c r="L49" s="10" t="str">
        <f aca="false">IF(K49=0,"Very Low",IF(K49&gt;=0.6,"Very High",IF(K49&gt;=0.4,"High",IF(K49&gt;=0.2,"Moderate",IF(K49&gt;=0.1,"Low","Very Low")))))</f>
        <v>High</v>
      </c>
    </row>
    <row r="50" customFormat="false" ht="15" hidden="false" customHeight="false" outlineLevel="0" collapsed="false">
      <c r="A50" s="4" t="n">
        <v>46</v>
      </c>
      <c r="B50" s="4" t="n">
        <v>38</v>
      </c>
      <c r="C50" s="5" t="s">
        <v>82</v>
      </c>
      <c r="D50" s="4" t="s">
        <v>83</v>
      </c>
      <c r="E50" s="4" t="s">
        <v>24</v>
      </c>
      <c r="F50" s="6" t="s">
        <v>31</v>
      </c>
      <c r="G50" s="7" t="n">
        <v>0.93</v>
      </c>
      <c r="H50" s="7" t="n">
        <v>0.61</v>
      </c>
      <c r="I50" s="7" t="n">
        <v>0.47</v>
      </c>
      <c r="J50" s="8" t="n">
        <f aca="false">IF(I50=0,0,(G50*H50)/I50)</f>
        <v>1.20702127659574</v>
      </c>
      <c r="K50" s="9" t="n">
        <f aca="false">IF(J50=0,0,(J50-MIN(J$5:J$654))/(MAX(J$5:J$654)-MIN(J$5:J$654)))</f>
        <v>0.478976697061804</v>
      </c>
      <c r="L50" s="10" t="str">
        <f aca="false">IF(K50=0,"Very Low",IF(K50&gt;=0.6,"Very High",IF(K50&gt;=0.4,"High",IF(K50&gt;=0.2,"Moderate",IF(K50&gt;=0.1,"Low","Very Low")))))</f>
        <v>High</v>
      </c>
    </row>
    <row r="51" customFormat="false" ht="15" hidden="false" customHeight="false" outlineLevel="0" collapsed="false">
      <c r="A51" s="4" t="n">
        <v>47</v>
      </c>
      <c r="B51" s="4" t="n">
        <v>39</v>
      </c>
      <c r="C51" s="5" t="s">
        <v>84</v>
      </c>
      <c r="D51" s="4" t="s">
        <v>44</v>
      </c>
      <c r="E51" s="4" t="s">
        <v>30</v>
      </c>
      <c r="F51" s="6" t="s">
        <v>31</v>
      </c>
      <c r="G51" s="7" t="n">
        <v>0.82</v>
      </c>
      <c r="H51" s="7" t="n">
        <v>0.73</v>
      </c>
      <c r="I51" s="7" t="n">
        <v>0.5</v>
      </c>
      <c r="J51" s="8" t="n">
        <f aca="false">IF(I51=0,0,(G51*H51)/I51)</f>
        <v>1.1972</v>
      </c>
      <c r="K51" s="9" t="n">
        <f aca="false">IF(J51=0,0,(J51-MIN(J$5:J$654))/(MAX(J$5:J$654)-MIN(J$5:J$654)))</f>
        <v>0.475079365079365</v>
      </c>
      <c r="L51" s="10" t="str">
        <f aca="false">IF(K51=0,"Very Low",IF(K51&gt;=0.6,"Very High",IF(K51&gt;=0.4,"High",IF(K51&gt;=0.2,"Moderate",IF(K51&gt;=0.1,"Low","Very Low")))))</f>
        <v>High</v>
      </c>
    </row>
    <row r="52" customFormat="false" ht="15" hidden="false" customHeight="false" outlineLevel="0" collapsed="false">
      <c r="A52" s="4" t="n">
        <v>48</v>
      </c>
      <c r="B52" s="4" t="n">
        <v>40</v>
      </c>
      <c r="C52" s="5" t="s">
        <v>85</v>
      </c>
      <c r="D52" s="4" t="s">
        <v>86</v>
      </c>
      <c r="E52" s="4" t="s">
        <v>87</v>
      </c>
      <c r="F52" s="6" t="s">
        <v>25</v>
      </c>
      <c r="G52" s="7" t="n">
        <v>0.93</v>
      </c>
      <c r="H52" s="7" t="n">
        <v>0.66</v>
      </c>
      <c r="I52" s="7" t="n">
        <v>0.38</v>
      </c>
      <c r="J52" s="8" t="n">
        <f aca="false">IF(I52=0,0,(G52*H52)/I52)</f>
        <v>1.61526315789474</v>
      </c>
      <c r="K52" s="9" t="n">
        <f aca="false">IF(J52=0,0,(J52-MIN(J$5:J$654))/(MAX(J$5:J$654)-MIN(J$5:J$654)))</f>
        <v>0.640977443609023</v>
      </c>
      <c r="L52" s="10" t="str">
        <f aca="false">IF(K52=0,"Very Low",IF(K52&gt;=0.6,"Very High",IF(K52&gt;=0.4,"High",IF(K52&gt;=0.2,"Moderate",IF(K52&gt;=0.1,"Low","Very Low")))))</f>
        <v>Very High</v>
      </c>
    </row>
    <row r="53" customFormat="false" ht="15" hidden="false" customHeight="false" outlineLevel="0" collapsed="false">
      <c r="A53" s="4" t="n">
        <v>49</v>
      </c>
      <c r="B53" s="4" t="n">
        <v>41</v>
      </c>
      <c r="C53" s="5" t="s">
        <v>88</v>
      </c>
      <c r="D53" s="4" t="s">
        <v>59</v>
      </c>
      <c r="E53" s="4" t="s">
        <v>60</v>
      </c>
      <c r="F53" s="6" t="s">
        <v>17</v>
      </c>
      <c r="G53" s="7" t="n">
        <v>0.81</v>
      </c>
      <c r="H53" s="7" t="n">
        <v>0.86</v>
      </c>
      <c r="I53" s="7" t="n">
        <v>0.44</v>
      </c>
      <c r="J53" s="8" t="n">
        <f aca="false">IF(I53=0,0,(G53*H53)/I53)</f>
        <v>1.58318181818182</v>
      </c>
      <c r="K53" s="9" t="n">
        <f aca="false">IF(J53=0,0,(J53-MIN(J$5:J$654))/(MAX(J$5:J$654)-MIN(J$5:J$654)))</f>
        <v>0.628246753246753</v>
      </c>
      <c r="L53" s="10" t="str">
        <f aca="false">IF(K53=0,"Very Low",IF(K53&gt;=0.6,"Very High",IF(K53&gt;=0.4,"High",IF(K53&gt;=0.2,"Moderate",IF(K53&gt;=0.1,"Low","Very Low")))))</f>
        <v>Very High</v>
      </c>
    </row>
    <row r="54" customFormat="false" ht="15" hidden="false" customHeight="false" outlineLevel="0" collapsed="false">
      <c r="A54" s="4" t="n">
        <v>50</v>
      </c>
      <c r="B54" s="4" t="n">
        <v>42</v>
      </c>
      <c r="C54" s="5" t="s">
        <v>89</v>
      </c>
      <c r="D54" s="4" t="s">
        <v>15</v>
      </c>
      <c r="E54" s="4" t="s">
        <v>16</v>
      </c>
      <c r="F54" s="6" t="s">
        <v>25</v>
      </c>
      <c r="G54" s="7" t="n">
        <v>0.97</v>
      </c>
      <c r="H54" s="7" t="n">
        <v>0.74</v>
      </c>
      <c r="I54" s="7" t="n">
        <v>0.45</v>
      </c>
      <c r="J54" s="8" t="n">
        <f aca="false">IF(I54=0,0,(G54*H54)/I54)</f>
        <v>1.59511111111111</v>
      </c>
      <c r="K54" s="9" t="n">
        <f aca="false">IF(J54=0,0,(J54-MIN(J$5:J$654))/(MAX(J$5:J$654)-MIN(J$5:J$654)))</f>
        <v>0.632980599647266</v>
      </c>
      <c r="L54" s="10" t="str">
        <f aca="false">IF(K54=0,"Very Low",IF(K54&gt;=0.6,"Very High",IF(K54&gt;=0.4,"High",IF(K54&gt;=0.2,"Moderate",IF(K54&gt;=0.1,"Low","Very Low")))))</f>
        <v>Very High</v>
      </c>
    </row>
    <row r="55" customFormat="false" ht="15" hidden="false" customHeight="false" outlineLevel="0" collapsed="false">
      <c r="A55" s="4" t="n">
        <v>51</v>
      </c>
      <c r="B55" s="4" t="n">
        <v>43</v>
      </c>
      <c r="C55" s="5" t="s">
        <v>90</v>
      </c>
      <c r="D55" s="4" t="s">
        <v>40</v>
      </c>
      <c r="E55" s="4" t="s">
        <v>20</v>
      </c>
      <c r="F55" s="6" t="s">
        <v>25</v>
      </c>
      <c r="G55" s="7" t="n">
        <v>1</v>
      </c>
      <c r="H55" s="7" t="n">
        <v>0.54</v>
      </c>
      <c r="I55" s="7" t="n">
        <v>0.34</v>
      </c>
      <c r="J55" s="8" t="n">
        <f aca="false">IF(I55=0,0,(G55*H55)/I55)</f>
        <v>1.58823529411765</v>
      </c>
      <c r="K55" s="9" t="n">
        <f aca="false">IF(J55=0,0,(J55-MIN(J$5:J$654))/(MAX(J$5:J$654)-MIN(J$5:J$654)))</f>
        <v>0.630252100840336</v>
      </c>
      <c r="L55" s="10" t="str">
        <f aca="false">IF(K55=0,"Very Low",IF(K55&gt;=0.6,"Very High",IF(K55&gt;=0.4,"High",IF(K55&gt;=0.2,"Moderate",IF(K55&gt;=0.1,"Low","Very Low")))))</f>
        <v>Very High</v>
      </c>
    </row>
    <row r="56" customFormat="false" ht="15" hidden="false" customHeight="false" outlineLevel="0" collapsed="false">
      <c r="A56" s="4" t="n">
        <v>52</v>
      </c>
      <c r="B56" s="4" t="n">
        <v>44</v>
      </c>
      <c r="C56" s="5" t="s">
        <v>91</v>
      </c>
      <c r="D56" s="4" t="s">
        <v>15</v>
      </c>
      <c r="E56" s="4" t="s">
        <v>16</v>
      </c>
      <c r="F56" s="6" t="s">
        <v>17</v>
      </c>
      <c r="G56" s="7" t="n">
        <v>0.93</v>
      </c>
      <c r="H56" s="7" t="n">
        <v>0.88</v>
      </c>
      <c r="I56" s="7" t="n">
        <v>0.49</v>
      </c>
      <c r="J56" s="8" t="n">
        <f aca="false">IF(I56=0,0,(G56*H56)/I56)</f>
        <v>1.67020408163265</v>
      </c>
      <c r="K56" s="9" t="n">
        <f aca="false">IF(J56=0,0,(J56-MIN(J$5:J$654))/(MAX(J$5:J$654)-MIN(J$5:J$654)))</f>
        <v>0.662779397473275</v>
      </c>
      <c r="L56" s="10" t="str">
        <f aca="false">IF(K56=0,"Very Low",IF(K56&gt;=0.6,"Very High",IF(K56&gt;=0.4,"High",IF(K56&gt;=0.2,"Moderate",IF(K56&gt;=0.1,"Low","Very Low")))))</f>
        <v>Very High</v>
      </c>
    </row>
    <row r="57" customFormat="false" ht="15" hidden="false" customHeight="false" outlineLevel="0" collapsed="false">
      <c r="A57" s="4" t="n">
        <v>53</v>
      </c>
      <c r="B57" s="4" t="n">
        <v>45</v>
      </c>
      <c r="C57" s="5" t="s">
        <v>92</v>
      </c>
      <c r="D57" s="4" t="s">
        <v>93</v>
      </c>
      <c r="E57" s="4" t="s">
        <v>24</v>
      </c>
      <c r="F57" s="6" t="s">
        <v>25</v>
      </c>
      <c r="G57" s="7" t="n">
        <v>0.74</v>
      </c>
      <c r="H57" s="7" t="n">
        <v>0.92</v>
      </c>
      <c r="I57" s="7" t="n">
        <v>0.44</v>
      </c>
      <c r="J57" s="8" t="n">
        <f aca="false">IF(I57=0,0,(G57*H57)/I57)</f>
        <v>1.54727272727273</v>
      </c>
      <c r="K57" s="9" t="n">
        <f aca="false">IF(J57=0,0,(J57-MIN(J$5:J$654))/(MAX(J$5:J$654)-MIN(J$5:J$654)))</f>
        <v>0.613997113997114</v>
      </c>
      <c r="L57" s="10" t="str">
        <f aca="false">IF(K57=0,"Very Low",IF(K57&gt;=0.6,"Very High",IF(K57&gt;=0.4,"High",IF(K57&gt;=0.2,"Moderate",IF(K57&gt;=0.1,"Low","Very Low")))))</f>
        <v>Very High</v>
      </c>
    </row>
    <row r="58" customFormat="false" ht="15" hidden="false" customHeight="false" outlineLevel="0" collapsed="false">
      <c r="A58" s="4" t="n">
        <v>54</v>
      </c>
      <c r="B58" s="4" t="n">
        <v>46</v>
      </c>
      <c r="C58" s="5" t="s">
        <v>94</v>
      </c>
      <c r="D58" s="4" t="s">
        <v>95</v>
      </c>
      <c r="E58" s="4" t="s">
        <v>20</v>
      </c>
      <c r="F58" s="6" t="s">
        <v>21</v>
      </c>
      <c r="G58" s="7" t="n">
        <v>0.72</v>
      </c>
      <c r="H58" s="7" t="n">
        <v>0.75</v>
      </c>
      <c r="I58" s="7" t="n">
        <v>0.54</v>
      </c>
      <c r="J58" s="8" t="n">
        <f aca="false">IF(I58=0,0,(G58*H58)/I58)</f>
        <v>1</v>
      </c>
      <c r="K58" s="9" t="n">
        <f aca="false">IF(J58=0,0,(J58-MIN(J$5:J$654))/(MAX(J$5:J$654)-MIN(J$5:J$654)))</f>
        <v>0.396825396825397</v>
      </c>
      <c r="L58" s="10" t="str">
        <f aca="false">IF(K58=0,"Very Low",IF(K58&gt;=0.6,"Very High",IF(K58&gt;=0.4,"High",IF(K58&gt;=0.2,"Moderate",IF(K58&gt;=0.1,"Low","Very Low")))))</f>
        <v>Moderate</v>
      </c>
    </row>
    <row r="59" customFormat="false" ht="15" hidden="false" customHeight="false" outlineLevel="0" collapsed="false">
      <c r="A59" s="4" t="n">
        <v>55</v>
      </c>
      <c r="B59" s="4" t="n">
        <v>47</v>
      </c>
      <c r="C59" s="5" t="s">
        <v>96</v>
      </c>
      <c r="D59" s="4" t="s">
        <v>59</v>
      </c>
      <c r="E59" s="4" t="s">
        <v>60</v>
      </c>
      <c r="F59" s="6" t="s">
        <v>25</v>
      </c>
      <c r="G59" s="7" t="n">
        <v>0.63</v>
      </c>
      <c r="H59" s="7" t="n">
        <v>0.78</v>
      </c>
      <c r="I59" s="7" t="n">
        <v>0.33</v>
      </c>
      <c r="J59" s="8" t="n">
        <f aca="false">IF(I59=0,0,(G59*H59)/I59)</f>
        <v>1.48909090909091</v>
      </c>
      <c r="K59" s="9" t="n">
        <f aca="false">IF(J59=0,0,(J59-MIN(J$5:J$654))/(MAX(J$5:J$654)-MIN(J$5:J$654)))</f>
        <v>0.590909090909091</v>
      </c>
      <c r="L59" s="10" t="str">
        <f aca="false">IF(K59=0,"Very Low",IF(K59&gt;=0.6,"Very High",IF(K59&gt;=0.4,"High",IF(K59&gt;=0.2,"Moderate",IF(K59&gt;=0.1,"Low","Very Low")))))</f>
        <v>High</v>
      </c>
    </row>
    <row r="60" customFormat="false" ht="15" hidden="false" customHeight="false" outlineLevel="0" collapsed="false">
      <c r="A60" s="4" t="n">
        <v>56</v>
      </c>
      <c r="B60" s="4" t="n">
        <v>47</v>
      </c>
      <c r="C60" s="5" t="s">
        <v>97</v>
      </c>
      <c r="D60" s="4" t="s">
        <v>98</v>
      </c>
      <c r="E60" s="4" t="s">
        <v>16</v>
      </c>
      <c r="F60" s="6" t="s">
        <v>25</v>
      </c>
      <c r="G60" s="7" t="n">
        <v>0.63</v>
      </c>
      <c r="H60" s="7" t="n">
        <v>0.78</v>
      </c>
      <c r="I60" s="7" t="n">
        <v>0.33</v>
      </c>
      <c r="J60" s="8" t="n">
        <f aca="false">IF(I60=0,0,(G60*H60)/I60)</f>
        <v>1.48909090909091</v>
      </c>
      <c r="K60" s="9" t="n">
        <f aca="false">IF(J60=0,0,(J60-MIN(J$5:J$654))/(MAX(J$5:J$654)-MIN(J$5:J$654)))</f>
        <v>0.590909090909091</v>
      </c>
      <c r="L60" s="10" t="str">
        <f aca="false">IF(K60=0,"Very Low",IF(K60&gt;=0.6,"Very High",IF(K60&gt;=0.4,"High",IF(K60&gt;=0.2,"Moderate",IF(K60&gt;=0.1,"Low","Very Low")))))</f>
        <v>High</v>
      </c>
    </row>
    <row r="61" customFormat="false" ht="15" hidden="false" customHeight="false" outlineLevel="0" collapsed="false">
      <c r="A61" s="4" t="n">
        <v>57</v>
      </c>
      <c r="B61" s="4" t="n">
        <v>48</v>
      </c>
      <c r="C61" s="5" t="s">
        <v>99</v>
      </c>
      <c r="D61" s="4" t="s">
        <v>59</v>
      </c>
      <c r="E61" s="4" t="s">
        <v>60</v>
      </c>
      <c r="F61" s="6" t="s">
        <v>31</v>
      </c>
      <c r="G61" s="7" t="n">
        <v>0.82</v>
      </c>
      <c r="H61" s="7" t="n">
        <v>0.49</v>
      </c>
      <c r="I61" s="7" t="n">
        <v>0.37</v>
      </c>
      <c r="J61" s="8" t="n">
        <f aca="false">IF(I61=0,0,(G61*H61)/I61)</f>
        <v>1.08594594594595</v>
      </c>
      <c r="K61" s="9" t="n">
        <f aca="false">IF(J61=0,0,(J61-MIN(J$5:J$654))/(MAX(J$5:J$654)-MIN(J$5:J$654)))</f>
        <v>0.430930930930931</v>
      </c>
      <c r="L61" s="10" t="str">
        <f aca="false">IF(K61=0,"Very Low",IF(K61&gt;=0.6,"Very High",IF(K61&gt;=0.4,"High",IF(K61&gt;=0.2,"Moderate",IF(K61&gt;=0.1,"Low","Very Low")))))</f>
        <v>High</v>
      </c>
    </row>
    <row r="62" customFormat="false" ht="15" hidden="false" customHeight="false" outlineLevel="0" collapsed="false">
      <c r="A62" s="4" t="n">
        <v>58</v>
      </c>
      <c r="B62" s="4" t="n">
        <v>49</v>
      </c>
      <c r="C62" s="5" t="s">
        <v>100</v>
      </c>
      <c r="D62" s="4" t="s">
        <v>29</v>
      </c>
      <c r="E62" s="4" t="s">
        <v>30</v>
      </c>
      <c r="F62" s="6" t="s">
        <v>31</v>
      </c>
      <c r="G62" s="7" t="n">
        <v>0.76</v>
      </c>
      <c r="H62" s="7" t="n">
        <v>0.52</v>
      </c>
      <c r="I62" s="7" t="n">
        <v>0.37</v>
      </c>
      <c r="J62" s="8" t="n">
        <f aca="false">IF(I62=0,0,(G62*H62)/I62)</f>
        <v>1.06810810810811</v>
      </c>
      <c r="K62" s="9" t="n">
        <f aca="false">IF(J62=0,0,(J62-MIN(J$5:J$654))/(MAX(J$5:J$654)-MIN(J$5:J$654)))</f>
        <v>0.423852423852424</v>
      </c>
      <c r="L62" s="10" t="str">
        <f aca="false">IF(K62=0,"Very Low",IF(K62&gt;=0.6,"Very High",IF(K62&gt;=0.4,"High",IF(K62&gt;=0.2,"Moderate",IF(K62&gt;=0.1,"Low","Very Low")))))</f>
        <v>High</v>
      </c>
    </row>
    <row r="63" customFormat="false" ht="15" hidden="false" customHeight="false" outlineLevel="0" collapsed="false">
      <c r="A63" s="4" t="n">
        <v>59</v>
      </c>
      <c r="B63" s="4" t="n">
        <v>49</v>
      </c>
      <c r="C63" s="5" t="s">
        <v>101</v>
      </c>
      <c r="D63" s="4" t="s">
        <v>29</v>
      </c>
      <c r="E63" s="4" t="s">
        <v>30</v>
      </c>
      <c r="F63" s="6" t="s">
        <v>25</v>
      </c>
      <c r="G63" s="7" t="n">
        <v>0.63</v>
      </c>
      <c r="H63" s="7" t="n">
        <v>0.97</v>
      </c>
      <c r="I63" s="7" t="n">
        <v>0.42</v>
      </c>
      <c r="J63" s="8" t="n">
        <f aca="false">IF(I63=0,0,(G63*H63)/I63)</f>
        <v>1.455</v>
      </c>
      <c r="K63" s="9" t="n">
        <f aca="false">IF(J63=0,0,(J63-MIN(J$5:J$654))/(MAX(J$5:J$654)-MIN(J$5:J$654)))</f>
        <v>0.577380952380952</v>
      </c>
      <c r="L63" s="10" t="str">
        <f aca="false">IF(K63=0,"Very Low",IF(K63&gt;=0.6,"Very High",IF(K63&gt;=0.4,"High",IF(K63&gt;=0.2,"Moderate",IF(K63&gt;=0.1,"Low","Very Low")))))</f>
        <v>High</v>
      </c>
    </row>
    <row r="64" customFormat="false" ht="15" hidden="false" customHeight="false" outlineLevel="0" collapsed="false">
      <c r="A64" s="4" t="n">
        <v>60</v>
      </c>
      <c r="B64" s="4" t="n">
        <v>50</v>
      </c>
      <c r="C64" s="5" t="s">
        <v>102</v>
      </c>
      <c r="D64" s="4" t="s">
        <v>33</v>
      </c>
      <c r="E64" s="4" t="s">
        <v>24</v>
      </c>
      <c r="F64" s="6" t="s">
        <v>27</v>
      </c>
      <c r="G64" s="7" t="n">
        <v>0.7</v>
      </c>
      <c r="H64" s="7" t="n">
        <v>0.84</v>
      </c>
      <c r="I64" s="7" t="n">
        <v>0.42</v>
      </c>
      <c r="J64" s="8" t="n">
        <f aca="false">IF(I64=0,0,(G64*H64)/I64)</f>
        <v>1.4</v>
      </c>
      <c r="K64" s="9" t="n">
        <f aca="false">IF(J64=0,0,(J64-MIN(J$5:J$654))/(MAX(J$5:J$654)-MIN(J$5:J$654)))</f>
        <v>0.555555555555556</v>
      </c>
      <c r="L64" s="10" t="str">
        <f aca="false">IF(K64=0,"Very Low",IF(K64&gt;=0.6,"Very High",IF(K64&gt;=0.4,"High",IF(K64&gt;=0.2,"Moderate",IF(K64&gt;=0.1,"Low","Very Low")))))</f>
        <v>High</v>
      </c>
    </row>
    <row r="65" customFormat="false" ht="15" hidden="false" customHeight="false" outlineLevel="0" collapsed="false">
      <c r="A65" s="4" t="n">
        <v>61</v>
      </c>
      <c r="B65" s="4" t="n">
        <v>51</v>
      </c>
      <c r="C65" s="5" t="s">
        <v>103</v>
      </c>
      <c r="D65" s="4" t="s">
        <v>33</v>
      </c>
      <c r="E65" s="4" t="s">
        <v>24</v>
      </c>
      <c r="F65" s="6" t="s">
        <v>25</v>
      </c>
      <c r="G65" s="7" t="n">
        <v>0.74</v>
      </c>
      <c r="H65" s="7" t="n">
        <v>0.63</v>
      </c>
      <c r="I65" s="7" t="n">
        <v>0.33</v>
      </c>
      <c r="J65" s="8" t="n">
        <f aca="false">IF(I65=0,0,(G65*H65)/I65)</f>
        <v>1.41272727272727</v>
      </c>
      <c r="K65" s="9" t="n">
        <f aca="false">IF(J65=0,0,(J65-MIN(J$5:J$654))/(MAX(J$5:J$654)-MIN(J$5:J$654)))</f>
        <v>0.560606060606061</v>
      </c>
      <c r="L65" s="10" t="str">
        <f aca="false">IF(K65=0,"Very Low",IF(K65&gt;=0.6,"Very High",IF(K65&gt;=0.4,"High",IF(K65&gt;=0.2,"Moderate",IF(K65&gt;=0.1,"Low","Very Low")))))</f>
        <v>High</v>
      </c>
    </row>
    <row r="66" customFormat="false" ht="15" hidden="false" customHeight="false" outlineLevel="0" collapsed="false">
      <c r="A66" s="4" t="n">
        <v>62</v>
      </c>
      <c r="B66" s="4" t="n">
        <v>52</v>
      </c>
      <c r="C66" s="5" t="s">
        <v>104</v>
      </c>
      <c r="D66" s="4" t="s">
        <v>29</v>
      </c>
      <c r="E66" s="4" t="s">
        <v>30</v>
      </c>
      <c r="F66" s="6" t="s">
        <v>31</v>
      </c>
      <c r="G66" s="7" t="n">
        <v>0.96</v>
      </c>
      <c r="H66" s="7" t="n">
        <v>0.55</v>
      </c>
      <c r="I66" s="7" t="n">
        <v>0.51</v>
      </c>
      <c r="J66" s="8" t="n">
        <f aca="false">IF(I66=0,0,(G66*H66)/I66)</f>
        <v>1.03529411764706</v>
      </c>
      <c r="K66" s="9" t="n">
        <f aca="false">IF(J66=0,0,(J66-MIN(J$5:J$654))/(MAX(J$5:J$654)-MIN(J$5:J$654)))</f>
        <v>0.410830999066293</v>
      </c>
      <c r="L66" s="10" t="str">
        <f aca="false">IF(K66=0,"Very Low",IF(K66&gt;=0.6,"Very High",IF(K66&gt;=0.4,"High",IF(K66&gt;=0.2,"Moderate",IF(K66&gt;=0.1,"Low","Very Low")))))</f>
        <v>High</v>
      </c>
    </row>
    <row r="67" customFormat="false" ht="15" hidden="false" customHeight="false" outlineLevel="0" collapsed="false">
      <c r="A67" s="4" t="n">
        <v>63</v>
      </c>
      <c r="B67" s="4" t="n">
        <v>53</v>
      </c>
      <c r="C67" s="5" t="s">
        <v>105</v>
      </c>
      <c r="D67" s="4" t="s">
        <v>106</v>
      </c>
      <c r="E67" s="4" t="s">
        <v>87</v>
      </c>
      <c r="F67" s="6" t="s">
        <v>17</v>
      </c>
      <c r="G67" s="7" t="n">
        <v>0.7</v>
      </c>
      <c r="H67" s="7" t="n">
        <v>0.93</v>
      </c>
      <c r="I67" s="7" t="n">
        <v>0.37</v>
      </c>
      <c r="J67" s="8" t="n">
        <f aca="false">IF(I67=0,0,(G67*H67)/I67)</f>
        <v>1.75945945945946</v>
      </c>
      <c r="K67" s="9" t="n">
        <f aca="false">IF(J67=0,0,(J67-MIN(J$5:J$654))/(MAX(J$5:J$654)-MIN(J$5:J$654)))</f>
        <v>0.698198198198198</v>
      </c>
      <c r="L67" s="10" t="str">
        <f aca="false">IF(K67=0,"Very Low",IF(K67&gt;=0.6,"Very High",IF(K67&gt;=0.4,"High",IF(K67&gt;=0.2,"Moderate",IF(K67&gt;=0.1,"Low","Very Low")))))</f>
        <v>Very High</v>
      </c>
    </row>
    <row r="68" customFormat="false" ht="15" hidden="false" customHeight="false" outlineLevel="0" collapsed="false">
      <c r="A68" s="4" t="n">
        <v>64</v>
      </c>
      <c r="B68" s="4" t="n">
        <v>54</v>
      </c>
      <c r="C68" s="5" t="s">
        <v>107</v>
      </c>
      <c r="D68" s="4" t="s">
        <v>108</v>
      </c>
      <c r="E68" s="4" t="s">
        <v>30</v>
      </c>
      <c r="F68" s="6" t="s">
        <v>25</v>
      </c>
      <c r="G68" s="7" t="n">
        <v>0.86</v>
      </c>
      <c r="H68" s="7" t="n">
        <v>0.78</v>
      </c>
      <c r="I68" s="7" t="n">
        <v>0.49</v>
      </c>
      <c r="J68" s="8" t="n">
        <f aca="false">IF(I68=0,0,(G68*H68)/I68)</f>
        <v>1.36897959183674</v>
      </c>
      <c r="K68" s="9" t="n">
        <f aca="false">IF(J68=0,0,(J68-MIN(J$5:J$654))/(MAX(J$5:J$654)-MIN(J$5:J$654)))</f>
        <v>0.543245869776482</v>
      </c>
      <c r="L68" s="10" t="str">
        <f aca="false">IF(K68=0,"Very Low",IF(K68&gt;=0.6,"Very High",IF(K68&gt;=0.4,"High",IF(K68&gt;=0.2,"Moderate",IF(K68&gt;=0.1,"Low","Very Low")))))</f>
        <v>High</v>
      </c>
    </row>
    <row r="69" customFormat="false" ht="15" hidden="false" customHeight="false" outlineLevel="0" collapsed="false">
      <c r="A69" s="4" t="n">
        <v>65</v>
      </c>
      <c r="B69" s="4" t="n">
        <v>55</v>
      </c>
      <c r="C69" s="5" t="s">
        <v>109</v>
      </c>
      <c r="D69" s="4" t="s">
        <v>40</v>
      </c>
      <c r="E69" s="4" t="s">
        <v>20</v>
      </c>
      <c r="F69" s="6" t="s">
        <v>27</v>
      </c>
      <c r="G69" s="7" t="n">
        <v>0.575</v>
      </c>
      <c r="H69" s="7" t="n">
        <v>0.86</v>
      </c>
      <c r="I69" s="7" t="n">
        <v>0.37</v>
      </c>
      <c r="J69" s="8" t="n">
        <f aca="false">IF(I69=0,0,(G69*H69)/I69)</f>
        <v>1.33648648648649</v>
      </c>
      <c r="K69" s="9" t="n">
        <f aca="false">IF(J69=0,0,(J69-MIN(J$5:J$654))/(MAX(J$5:J$654)-MIN(J$5:J$654)))</f>
        <v>0.53035178035178</v>
      </c>
      <c r="L69" s="10" t="str">
        <f aca="false">IF(K69=0,"Very Low",IF(K69&gt;=0.6,"Very High",IF(K69&gt;=0.4,"High",IF(K69&gt;=0.2,"Moderate",IF(K69&gt;=0.1,"Low","Very Low")))))</f>
        <v>High</v>
      </c>
    </row>
    <row r="70" customFormat="false" ht="15" hidden="false" customHeight="false" outlineLevel="0" collapsed="false">
      <c r="A70" s="4" t="n">
        <v>66</v>
      </c>
      <c r="B70" s="4" t="n">
        <v>56</v>
      </c>
      <c r="C70" s="5" t="s">
        <v>110</v>
      </c>
      <c r="D70" s="4" t="s">
        <v>83</v>
      </c>
      <c r="E70" s="4" t="s">
        <v>24</v>
      </c>
      <c r="F70" s="6" t="s">
        <v>25</v>
      </c>
      <c r="G70" s="7" t="n">
        <v>0.74</v>
      </c>
      <c r="H70" s="7" t="n">
        <v>0.84</v>
      </c>
      <c r="I70" s="7" t="n">
        <v>0.46</v>
      </c>
      <c r="J70" s="8" t="n">
        <f aca="false">IF(I70=0,0,(G70*H70)/I70)</f>
        <v>1.35130434782609</v>
      </c>
      <c r="K70" s="9" t="n">
        <f aca="false">IF(J70=0,0,(J70-MIN(J$5:J$654))/(MAX(J$5:J$654)-MIN(J$5:J$654)))</f>
        <v>0.536231884057971</v>
      </c>
      <c r="L70" s="10" t="str">
        <f aca="false">IF(K70=0,"Very Low",IF(K70&gt;=0.6,"Very High",IF(K70&gt;=0.4,"High",IF(K70&gt;=0.2,"Moderate",IF(K70&gt;=0.1,"Low","Very Low")))))</f>
        <v>High</v>
      </c>
    </row>
    <row r="71" customFormat="false" ht="15" hidden="false" customHeight="false" outlineLevel="0" collapsed="false">
      <c r="A71" s="4" t="n">
        <v>67</v>
      </c>
      <c r="B71" s="4" t="n">
        <v>56</v>
      </c>
      <c r="C71" s="5" t="s">
        <v>111</v>
      </c>
      <c r="D71" s="4" t="s">
        <v>106</v>
      </c>
      <c r="E71" s="4" t="s">
        <v>87</v>
      </c>
      <c r="F71" s="6" t="s">
        <v>31</v>
      </c>
      <c r="G71" s="7" t="n">
        <v>0.68</v>
      </c>
      <c r="H71" s="7" t="n">
        <v>0.67</v>
      </c>
      <c r="I71" s="7" t="n">
        <v>0.46</v>
      </c>
      <c r="J71" s="8" t="n">
        <f aca="false">IF(I71=0,0,(G71*H71)/I71)</f>
        <v>0.990434782608696</v>
      </c>
      <c r="K71" s="9" t="n">
        <f aca="false">IF(J71=0,0,(J71-MIN(J$5:J$654))/(MAX(J$5:J$654)-MIN(J$5:J$654)))</f>
        <v>0.393029675638371</v>
      </c>
      <c r="L71" s="10" t="str">
        <f aca="false">IF(K71=0,"Very Low",IF(K71&gt;=0.6,"Very High",IF(K71&gt;=0.4,"High",IF(K71&gt;=0.2,"Moderate",IF(K71&gt;=0.1,"Low","Very Low")))))</f>
        <v>Moderate</v>
      </c>
    </row>
    <row r="72" customFormat="false" ht="15" hidden="false" customHeight="false" outlineLevel="0" collapsed="false">
      <c r="A72" s="4" t="n">
        <v>68</v>
      </c>
      <c r="B72" s="4" t="n">
        <v>57</v>
      </c>
      <c r="C72" s="5" t="s">
        <v>112</v>
      </c>
      <c r="D72" s="4" t="s">
        <v>33</v>
      </c>
      <c r="E72" s="4" t="s">
        <v>24</v>
      </c>
      <c r="F72" s="6" t="s">
        <v>27</v>
      </c>
      <c r="G72" s="7" t="n">
        <v>0.85</v>
      </c>
      <c r="H72" s="7" t="n">
        <v>0.7</v>
      </c>
      <c r="I72" s="7" t="n">
        <v>0.45</v>
      </c>
      <c r="J72" s="8" t="n">
        <f aca="false">IF(I72=0,0,(G72*H72)/I72)</f>
        <v>1.32222222222222</v>
      </c>
      <c r="K72" s="9" t="n">
        <f aca="false">IF(J72=0,0,(J72-MIN(J$5:J$654))/(MAX(J$5:J$654)-MIN(J$5:J$654)))</f>
        <v>0.524691358024691</v>
      </c>
      <c r="L72" s="10" t="str">
        <f aca="false">IF(K72=0,"Very Low",IF(K72&gt;=0.6,"Very High",IF(K72&gt;=0.4,"High",IF(K72&gt;=0.2,"Moderate",IF(K72&gt;=0.1,"Low","Very Low")))))</f>
        <v>High</v>
      </c>
    </row>
    <row r="73" customFormat="false" ht="15" hidden="false" customHeight="false" outlineLevel="0" collapsed="false">
      <c r="A73" s="4" t="n">
        <v>69</v>
      </c>
      <c r="B73" s="4" t="n">
        <v>58</v>
      </c>
      <c r="C73" s="5" t="s">
        <v>113</v>
      </c>
      <c r="D73" s="4" t="s">
        <v>19</v>
      </c>
      <c r="E73" s="4" t="s">
        <v>20</v>
      </c>
      <c r="F73" s="6" t="s">
        <v>27</v>
      </c>
      <c r="G73" s="7" t="n">
        <v>1</v>
      </c>
      <c r="H73" s="7" t="n">
        <v>0.7</v>
      </c>
      <c r="I73" s="7" t="n">
        <v>0.53</v>
      </c>
      <c r="J73" s="8" t="n">
        <f aca="false">IF(I73=0,0,(G73*H73)/I73)</f>
        <v>1.32075471698113</v>
      </c>
      <c r="K73" s="9" t="n">
        <f aca="false">IF(J73=0,0,(J73-MIN(J$5:J$654))/(MAX(J$5:J$654)-MIN(J$5:J$654)))</f>
        <v>0.524109014675052</v>
      </c>
      <c r="L73" s="10" t="str">
        <f aca="false">IF(K73=0,"Very Low",IF(K73&gt;=0.6,"Very High",IF(K73&gt;=0.4,"High",IF(K73&gt;=0.2,"Moderate",IF(K73&gt;=0.1,"Low","Very Low")))))</f>
        <v>High</v>
      </c>
    </row>
    <row r="74" customFormat="false" ht="15" hidden="false" customHeight="false" outlineLevel="0" collapsed="false">
      <c r="A74" s="4" t="n">
        <v>70</v>
      </c>
      <c r="B74" s="4" t="n">
        <v>59</v>
      </c>
      <c r="C74" s="5" t="s">
        <v>114</v>
      </c>
      <c r="D74" s="4" t="s">
        <v>29</v>
      </c>
      <c r="E74" s="4" t="s">
        <v>30</v>
      </c>
      <c r="F74" s="6" t="s">
        <v>31</v>
      </c>
      <c r="G74" s="7" t="n">
        <v>0.82</v>
      </c>
      <c r="H74" s="7" t="n">
        <v>0.43</v>
      </c>
      <c r="I74" s="7" t="n">
        <v>0.36</v>
      </c>
      <c r="J74" s="8" t="n">
        <f aca="false">IF(I74=0,0,(G74*H74)/I74)</f>
        <v>0.979444444444444</v>
      </c>
      <c r="K74" s="9" t="n">
        <f aca="false">IF(J74=0,0,(J74-MIN(J$5:J$654))/(MAX(J$5:J$654)-MIN(J$5:J$654)))</f>
        <v>0.388668430335097</v>
      </c>
      <c r="L74" s="10" t="str">
        <f aca="false">IF(K74=0,"Very Low",IF(K74&gt;=0.6,"Very High",IF(K74&gt;=0.4,"High",IF(K74&gt;=0.2,"Moderate",IF(K74&gt;=0.1,"Low","Very Low")))))</f>
        <v>Moderate</v>
      </c>
    </row>
    <row r="75" customFormat="false" ht="15" hidden="false" customHeight="false" outlineLevel="0" collapsed="false">
      <c r="A75" s="4" t="n">
        <v>71</v>
      </c>
      <c r="B75" s="4" t="n">
        <v>60</v>
      </c>
      <c r="C75" s="5" t="s">
        <v>115</v>
      </c>
      <c r="D75" s="4" t="s">
        <v>59</v>
      </c>
      <c r="E75" s="4" t="s">
        <v>60</v>
      </c>
      <c r="F75" s="6" t="s">
        <v>31</v>
      </c>
      <c r="G75" s="7" t="n">
        <v>0.68</v>
      </c>
      <c r="H75" s="7" t="n">
        <v>0.69</v>
      </c>
      <c r="I75" s="7" t="n">
        <v>0.48</v>
      </c>
      <c r="J75" s="8" t="n">
        <f aca="false">IF(I75=0,0,(G75*H75)/I75)</f>
        <v>0.9775</v>
      </c>
      <c r="K75" s="9" t="n">
        <f aca="false">IF(J75=0,0,(J75-MIN(J$5:J$654))/(MAX(J$5:J$654)-MIN(J$5:J$654)))</f>
        <v>0.387896825396825</v>
      </c>
      <c r="L75" s="10" t="str">
        <f aca="false">IF(K75=0,"Very Low",IF(K75&gt;=0.6,"Very High",IF(K75&gt;=0.4,"High",IF(K75&gt;=0.2,"Moderate",IF(K75&gt;=0.1,"Low","Very Low")))))</f>
        <v>Moderate</v>
      </c>
    </row>
    <row r="76" customFormat="false" ht="15" hidden="false" customHeight="false" outlineLevel="0" collapsed="false">
      <c r="A76" s="4" t="n">
        <v>72</v>
      </c>
      <c r="B76" s="4" t="n">
        <v>61</v>
      </c>
      <c r="C76" s="5" t="s">
        <v>116</v>
      </c>
      <c r="D76" s="4" t="s">
        <v>59</v>
      </c>
      <c r="E76" s="4" t="s">
        <v>60</v>
      </c>
      <c r="F76" s="6" t="s">
        <v>25</v>
      </c>
      <c r="G76" s="7" t="n">
        <v>0.89</v>
      </c>
      <c r="H76" s="7" t="n">
        <v>0.7</v>
      </c>
      <c r="I76" s="7" t="n">
        <v>0.47</v>
      </c>
      <c r="J76" s="8" t="n">
        <f aca="false">IF(I76=0,0,(G76*H76)/I76)</f>
        <v>1.32553191489362</v>
      </c>
      <c r="K76" s="9" t="n">
        <f aca="false">IF(J76=0,0,(J76-MIN(J$5:J$654))/(MAX(J$5:J$654)-MIN(J$5:J$654)))</f>
        <v>0.526004728132388</v>
      </c>
      <c r="L76" s="10" t="str">
        <f aca="false">IF(K76=0,"Very Low",IF(K76&gt;=0.6,"Very High",IF(K76&gt;=0.4,"High",IF(K76&gt;=0.2,"Moderate",IF(K76&gt;=0.1,"Low","Very Low")))))</f>
        <v>High</v>
      </c>
    </row>
    <row r="77" customFormat="false" ht="15" hidden="false" customHeight="false" outlineLevel="0" collapsed="false">
      <c r="A77" s="4" t="n">
        <v>73</v>
      </c>
      <c r="B77" s="4" t="n">
        <v>61</v>
      </c>
      <c r="C77" s="5" t="s">
        <v>117</v>
      </c>
      <c r="D77" s="4" t="s">
        <v>29</v>
      </c>
      <c r="E77" s="4" t="s">
        <v>30</v>
      </c>
      <c r="F77" s="6" t="s">
        <v>31</v>
      </c>
      <c r="G77" s="7" t="n">
        <v>0.68</v>
      </c>
      <c r="H77" s="7" t="n">
        <v>0.8</v>
      </c>
      <c r="I77" s="7" t="n">
        <v>0.56</v>
      </c>
      <c r="J77" s="8" t="n">
        <f aca="false">IF(I77=0,0,(G77*H77)/I77)</f>
        <v>0.971428571428571</v>
      </c>
      <c r="K77" s="9" t="n">
        <f aca="false">IF(J77=0,0,(J77-MIN(J$5:J$654))/(MAX(J$5:J$654)-MIN(J$5:J$654)))</f>
        <v>0.385487528344671</v>
      </c>
      <c r="L77" s="10" t="str">
        <f aca="false">IF(K77=0,"Very Low",IF(K77&gt;=0.6,"Very High",IF(K77&gt;=0.4,"High",IF(K77&gt;=0.2,"Moderate",IF(K77&gt;=0.1,"Low","Very Low")))))</f>
        <v>Moderate</v>
      </c>
    </row>
    <row r="78" customFormat="false" ht="15" hidden="false" customHeight="false" outlineLevel="0" collapsed="false">
      <c r="A78" s="4" t="n">
        <v>74</v>
      </c>
      <c r="B78" s="4" t="n">
        <v>61</v>
      </c>
      <c r="C78" s="5" t="s">
        <v>118</v>
      </c>
      <c r="D78" s="4" t="s">
        <v>29</v>
      </c>
      <c r="E78" s="4" t="s">
        <v>30</v>
      </c>
      <c r="F78" s="6" t="s">
        <v>31</v>
      </c>
      <c r="G78" s="7" t="n">
        <v>0.76</v>
      </c>
      <c r="H78" s="7" t="n">
        <v>0.55</v>
      </c>
      <c r="I78" s="7" t="n">
        <v>0.43</v>
      </c>
      <c r="J78" s="8" t="n">
        <f aca="false">IF(I78=0,0,(G78*H78)/I78)</f>
        <v>0.972093023255814</v>
      </c>
      <c r="K78" s="9" t="n">
        <f aca="false">IF(J78=0,0,(J78-MIN(J$5:J$654))/(MAX(J$5:J$654)-MIN(J$5:J$654)))</f>
        <v>0.385751199704688</v>
      </c>
      <c r="L78" s="10" t="str">
        <f aca="false">IF(K78=0,"Very Low",IF(K78&gt;=0.6,"Very High",IF(K78&gt;=0.4,"High",IF(K78&gt;=0.2,"Moderate",IF(K78&gt;=0.1,"Low","Very Low")))))</f>
        <v>Moderate</v>
      </c>
    </row>
    <row r="79" customFormat="false" ht="15" hidden="false" customHeight="false" outlineLevel="0" collapsed="false">
      <c r="A79" s="4" t="n">
        <v>75</v>
      </c>
      <c r="B79" s="4" t="n">
        <v>62</v>
      </c>
      <c r="C79" s="5" t="s">
        <v>119</v>
      </c>
      <c r="D79" s="4" t="s">
        <v>98</v>
      </c>
      <c r="E79" s="4" t="s">
        <v>16</v>
      </c>
      <c r="F79" s="6" t="s">
        <v>17</v>
      </c>
      <c r="G79" s="7" t="n">
        <v>0.9</v>
      </c>
      <c r="H79" s="7" t="n">
        <v>0.94</v>
      </c>
      <c r="I79" s="7" t="n">
        <v>0.4</v>
      </c>
      <c r="J79" s="8" t="n">
        <f aca="false">IF(I79=0,0,(G79*H79)/I79)</f>
        <v>2.115</v>
      </c>
      <c r="K79" s="9" t="n">
        <f aca="false">IF(J79=0,0,(J79-MIN(J$5:J$654))/(MAX(J$5:J$654)-MIN(J$5:J$654)))</f>
        <v>0.839285714285714</v>
      </c>
      <c r="L79" s="10" t="str">
        <f aca="false">IF(K79=0,"Very Low",IF(K79&gt;=0.6,"Very High",IF(K79&gt;=0.4,"High",IF(K79&gt;=0.2,"Moderate",IF(K79&gt;=0.1,"Low","Very Low")))))</f>
        <v>Very High</v>
      </c>
    </row>
    <row r="80" customFormat="false" ht="15" hidden="false" customHeight="false" outlineLevel="0" collapsed="false">
      <c r="A80" s="4" t="n">
        <v>76</v>
      </c>
      <c r="B80" s="4" t="n">
        <v>63</v>
      </c>
      <c r="C80" s="5" t="s">
        <v>120</v>
      </c>
      <c r="D80" s="4" t="s">
        <v>19</v>
      </c>
      <c r="E80" s="4" t="s">
        <v>20</v>
      </c>
      <c r="F80" s="6" t="s">
        <v>27</v>
      </c>
      <c r="G80" s="7" t="n">
        <v>0.675</v>
      </c>
      <c r="H80" s="7" t="n">
        <v>0.91</v>
      </c>
      <c r="I80" s="7" t="n">
        <v>0.48</v>
      </c>
      <c r="J80" s="8" t="n">
        <f aca="false">IF(I80=0,0,(G80*H80)/I80)</f>
        <v>1.2796875</v>
      </c>
      <c r="K80" s="9" t="n">
        <f aca="false">IF(J80=0,0,(J80-MIN(J$5:J$654))/(MAX(J$5:J$654)-MIN(J$5:J$654)))</f>
        <v>0.5078125</v>
      </c>
      <c r="L80" s="10" t="str">
        <f aca="false">IF(K80=0,"Very Low",IF(K80&gt;=0.6,"Very High",IF(K80&gt;=0.4,"High",IF(K80&gt;=0.2,"Moderate",IF(K80&gt;=0.1,"Low","Very Low")))))</f>
        <v>High</v>
      </c>
    </row>
    <row r="81" customFormat="false" ht="15" hidden="false" customHeight="false" outlineLevel="0" collapsed="false">
      <c r="A81" s="4" t="n">
        <v>77</v>
      </c>
      <c r="B81" s="4" t="n">
        <v>64</v>
      </c>
      <c r="C81" s="5" t="s">
        <v>121</v>
      </c>
      <c r="D81" s="4" t="s">
        <v>40</v>
      </c>
      <c r="E81" s="4" t="s">
        <v>20</v>
      </c>
      <c r="F81" s="6" t="s">
        <v>25</v>
      </c>
      <c r="G81" s="7" t="n">
        <v>0.89</v>
      </c>
      <c r="H81" s="7" t="n">
        <v>0.57</v>
      </c>
      <c r="I81" s="7" t="n">
        <v>0.39</v>
      </c>
      <c r="J81" s="8" t="n">
        <f aca="false">IF(I81=0,0,(G81*H81)/I81)</f>
        <v>1.30076923076923</v>
      </c>
      <c r="K81" s="9" t="n">
        <f aca="false">IF(J81=0,0,(J81-MIN(J$5:J$654))/(MAX(J$5:J$654)-MIN(J$5:J$654)))</f>
        <v>0.516178266178266</v>
      </c>
      <c r="L81" s="10" t="str">
        <f aca="false">IF(K81=0,"Very Low",IF(K81&gt;=0.6,"Very High",IF(K81&gt;=0.4,"High",IF(K81&gt;=0.2,"Moderate",IF(K81&gt;=0.1,"Low","Very Low")))))</f>
        <v>High</v>
      </c>
    </row>
    <row r="82" customFormat="false" ht="15" hidden="false" customHeight="false" outlineLevel="0" collapsed="false">
      <c r="A82" s="4" t="n">
        <v>78</v>
      </c>
      <c r="B82" s="4" t="n">
        <v>65</v>
      </c>
      <c r="C82" s="5" t="s">
        <v>122</v>
      </c>
      <c r="D82" s="4" t="s">
        <v>19</v>
      </c>
      <c r="E82" s="4" t="s">
        <v>20</v>
      </c>
      <c r="F82" s="6" t="s">
        <v>21</v>
      </c>
      <c r="G82" s="7" t="n">
        <v>0.61</v>
      </c>
      <c r="H82" s="7" t="n">
        <v>0.76</v>
      </c>
      <c r="I82" s="7" t="n">
        <v>0.54</v>
      </c>
      <c r="J82" s="8" t="n">
        <f aca="false">IF(I82=0,0,(G82*H82)/I82)</f>
        <v>0.858518518518519</v>
      </c>
      <c r="K82" s="9" t="n">
        <f aca="false">IF(J82=0,0,(J82-MIN(J$5:J$654))/(MAX(J$5:J$654)-MIN(J$5:J$654)))</f>
        <v>0.340681951793063</v>
      </c>
      <c r="L82" s="10" t="str">
        <f aca="false">IF(K82=0,"Very Low",IF(K82&gt;=0.6,"Very High",IF(K82&gt;=0.4,"High",IF(K82&gt;=0.2,"Moderate",IF(K82&gt;=0.1,"Low","Very Low")))))</f>
        <v>Moderate</v>
      </c>
    </row>
    <row r="83" customFormat="false" ht="15" hidden="false" customHeight="false" outlineLevel="0" collapsed="false">
      <c r="A83" s="4" t="n">
        <v>79</v>
      </c>
      <c r="B83" s="4" t="n">
        <v>66</v>
      </c>
      <c r="C83" s="5" t="s">
        <v>123</v>
      </c>
      <c r="D83" s="4" t="s">
        <v>108</v>
      </c>
      <c r="E83" s="4" t="s">
        <v>30</v>
      </c>
      <c r="F83" s="6" t="s">
        <v>25</v>
      </c>
      <c r="G83" s="7" t="n">
        <v>0.93</v>
      </c>
      <c r="H83" s="7" t="n">
        <v>0.75</v>
      </c>
      <c r="I83" s="7" t="n">
        <v>0.54</v>
      </c>
      <c r="J83" s="8" t="n">
        <f aca="false">IF(I83=0,0,(G83*H83)/I83)</f>
        <v>1.29166666666667</v>
      </c>
      <c r="K83" s="9" t="n">
        <f aca="false">IF(J83=0,0,(J83-MIN(J$5:J$654))/(MAX(J$5:J$654)-MIN(J$5:J$654)))</f>
        <v>0.512566137566138</v>
      </c>
      <c r="L83" s="10" t="str">
        <f aca="false">IF(K83=0,"Very Low",IF(K83&gt;=0.6,"Very High",IF(K83&gt;=0.4,"High",IF(K83&gt;=0.2,"Moderate",IF(K83&gt;=0.1,"Low","Very Low")))))</f>
        <v>High</v>
      </c>
    </row>
    <row r="84" customFormat="false" ht="15" hidden="false" customHeight="false" outlineLevel="0" collapsed="false">
      <c r="A84" s="4" t="n">
        <v>80</v>
      </c>
      <c r="B84" s="4" t="n">
        <v>67</v>
      </c>
      <c r="C84" s="5" t="s">
        <v>124</v>
      </c>
      <c r="D84" s="4" t="s">
        <v>15</v>
      </c>
      <c r="E84" s="4" t="s">
        <v>16</v>
      </c>
      <c r="F84" s="6" t="s">
        <v>17</v>
      </c>
      <c r="G84" s="7" t="n">
        <v>0.91</v>
      </c>
      <c r="H84" s="7" t="n">
        <v>0.93</v>
      </c>
      <c r="I84" s="7" t="n">
        <v>0.47</v>
      </c>
      <c r="J84" s="8" t="n">
        <f aca="false">IF(I84=0,0,(G84*H84)/I84)</f>
        <v>1.80063829787234</v>
      </c>
      <c r="K84" s="9" t="n">
        <f aca="false">IF(J84=0,0,(J84-MIN(J$5:J$654))/(MAX(J$5:J$654)-MIN(J$5:J$654)))</f>
        <v>0.714539007092199</v>
      </c>
      <c r="L84" s="10" t="str">
        <f aca="false">IF(K84=0,"Very Low",IF(K84&gt;=0.6,"Very High",IF(K84&gt;=0.4,"High",IF(K84&gt;=0.2,"Moderate",IF(K84&gt;=0.1,"Low","Very Low")))))</f>
        <v>Very High</v>
      </c>
    </row>
    <row r="85" customFormat="false" ht="15" hidden="false" customHeight="false" outlineLevel="0" collapsed="false">
      <c r="A85" s="4" t="n">
        <v>81</v>
      </c>
      <c r="B85" s="4" t="n">
        <v>68</v>
      </c>
      <c r="C85" s="5" t="s">
        <v>125</v>
      </c>
      <c r="D85" s="4" t="s">
        <v>29</v>
      </c>
      <c r="E85" s="4" t="s">
        <v>30</v>
      </c>
      <c r="F85" s="6" t="s">
        <v>31</v>
      </c>
      <c r="G85" s="7" t="n">
        <v>0.82</v>
      </c>
      <c r="H85" s="7" t="n">
        <v>0.65</v>
      </c>
      <c r="I85" s="7" t="n">
        <v>0.57</v>
      </c>
      <c r="J85" s="8" t="n">
        <f aca="false">IF(I85=0,0,(G85*H85)/I85)</f>
        <v>0.935087719298246</v>
      </c>
      <c r="K85" s="9" t="n">
        <f aca="false">IF(J85=0,0,(J85-MIN(J$5:J$654))/(MAX(J$5:J$654)-MIN(J$5:J$654)))</f>
        <v>0.371066555277082</v>
      </c>
      <c r="L85" s="10" t="str">
        <f aca="false">IF(K85=0,"Very Low",IF(K85&gt;=0.6,"Very High",IF(K85&gt;=0.4,"High",IF(K85&gt;=0.2,"Moderate",IF(K85&gt;=0.1,"Low","Very Low")))))</f>
        <v>Moderate</v>
      </c>
    </row>
    <row r="86" customFormat="false" ht="15" hidden="false" customHeight="false" outlineLevel="0" collapsed="false">
      <c r="A86" s="4" t="n">
        <v>82</v>
      </c>
      <c r="B86" s="4" t="n">
        <v>69</v>
      </c>
      <c r="C86" s="5" t="s">
        <v>126</v>
      </c>
      <c r="D86" s="4" t="s">
        <v>33</v>
      </c>
      <c r="E86" s="4" t="s">
        <v>24</v>
      </c>
      <c r="F86" s="6" t="s">
        <v>27</v>
      </c>
      <c r="G86" s="7" t="n">
        <v>0.75</v>
      </c>
      <c r="H86" s="7" t="n">
        <v>0.83</v>
      </c>
      <c r="I86" s="7" t="n">
        <v>0.5</v>
      </c>
      <c r="J86" s="8" t="n">
        <f aca="false">IF(I86=0,0,(G86*H86)/I86)</f>
        <v>1.245</v>
      </c>
      <c r="K86" s="9" t="n">
        <f aca="false">IF(J86=0,0,(J86-MIN(J$5:J$654))/(MAX(J$5:J$654)-MIN(J$5:J$654)))</f>
        <v>0.494047619047619</v>
      </c>
      <c r="L86" s="10" t="str">
        <f aca="false">IF(K86=0,"Very Low",IF(K86&gt;=0.6,"Very High",IF(K86&gt;=0.4,"High",IF(K86&gt;=0.2,"Moderate",IF(K86&gt;=0.1,"Low","Very Low")))))</f>
        <v>High</v>
      </c>
    </row>
    <row r="87" customFormat="false" ht="15" hidden="false" customHeight="false" outlineLevel="0" collapsed="false">
      <c r="A87" s="4" t="n">
        <v>83</v>
      </c>
      <c r="B87" s="4" t="n">
        <v>70</v>
      </c>
      <c r="C87" s="5" t="s">
        <v>127</v>
      </c>
      <c r="D87" s="4" t="s">
        <v>83</v>
      </c>
      <c r="E87" s="4" t="s">
        <v>24</v>
      </c>
      <c r="F87" s="6" t="s">
        <v>31</v>
      </c>
      <c r="G87" s="7" t="n">
        <v>0.93</v>
      </c>
      <c r="H87" s="7" t="n">
        <v>0.48</v>
      </c>
      <c r="I87" s="7" t="n">
        <v>0.48</v>
      </c>
      <c r="J87" s="8" t="n">
        <f aca="false">IF(I87=0,0,(G87*H87)/I87)</f>
        <v>0.93</v>
      </c>
      <c r="K87" s="9" t="n">
        <f aca="false">IF(J87=0,0,(J87-MIN(J$5:J$654))/(MAX(J$5:J$654)-MIN(J$5:J$654)))</f>
        <v>0.369047619047619</v>
      </c>
      <c r="L87" s="10" t="str">
        <f aca="false">IF(K87=0,"Very Low",IF(K87&gt;=0.6,"Very High",IF(K87&gt;=0.4,"High",IF(K87&gt;=0.2,"Moderate",IF(K87&gt;=0.1,"Low","Very Low")))))</f>
        <v>Moderate</v>
      </c>
    </row>
    <row r="88" customFormat="false" ht="15" hidden="false" customHeight="false" outlineLevel="0" collapsed="false">
      <c r="A88" s="4" t="n">
        <v>84</v>
      </c>
      <c r="B88" s="4" t="n">
        <v>71</v>
      </c>
      <c r="C88" s="5" t="s">
        <v>128</v>
      </c>
      <c r="D88" s="4" t="s">
        <v>33</v>
      </c>
      <c r="E88" s="4" t="s">
        <v>24</v>
      </c>
      <c r="F88" s="6" t="s">
        <v>17</v>
      </c>
      <c r="G88" s="7" t="n">
        <v>0.81</v>
      </c>
      <c r="H88" s="7" t="n">
        <v>1</v>
      </c>
      <c r="I88" s="7" t="n">
        <v>0.51</v>
      </c>
      <c r="J88" s="8" t="n">
        <f aca="false">IF(I88=0,0,(G88*H88)/I88)</f>
        <v>1.58823529411765</v>
      </c>
      <c r="K88" s="9" t="n">
        <f aca="false">IF(J88=0,0,(J88-MIN(J$5:J$654))/(MAX(J$5:J$654)-MIN(J$5:J$654)))</f>
        <v>0.630252100840336</v>
      </c>
      <c r="L88" s="10" t="str">
        <f aca="false">IF(K88=0,"Very Low",IF(K88&gt;=0.6,"Very High",IF(K88&gt;=0.4,"High",IF(K88&gt;=0.2,"Moderate",IF(K88&gt;=0.1,"Low","Very Low")))))</f>
        <v>Very High</v>
      </c>
    </row>
    <row r="89" customFormat="false" ht="15" hidden="false" customHeight="false" outlineLevel="0" collapsed="false">
      <c r="A89" s="4" t="n">
        <v>85</v>
      </c>
      <c r="B89" s="4" t="n">
        <v>72</v>
      </c>
      <c r="C89" s="5" t="s">
        <v>129</v>
      </c>
      <c r="D89" s="4" t="s">
        <v>59</v>
      </c>
      <c r="E89" s="4" t="s">
        <v>60</v>
      </c>
      <c r="F89" s="6" t="s">
        <v>31</v>
      </c>
      <c r="G89" s="7" t="n">
        <v>0.68</v>
      </c>
      <c r="H89" s="7" t="n">
        <v>0.49</v>
      </c>
      <c r="I89" s="7" t="n">
        <v>0.36</v>
      </c>
      <c r="J89" s="8" t="n">
        <f aca="false">IF(I89=0,0,(G89*H89)/I89)</f>
        <v>0.925555555555556</v>
      </c>
      <c r="K89" s="9" t="n">
        <f aca="false">IF(J89=0,0,(J89-MIN(J$5:J$654))/(MAX(J$5:J$654)-MIN(J$5:J$654)))</f>
        <v>0.367283950617284</v>
      </c>
      <c r="L89" s="10" t="str">
        <f aca="false">IF(K89=0,"Very Low",IF(K89&gt;=0.6,"Very High",IF(K89&gt;=0.4,"High",IF(K89&gt;=0.2,"Moderate",IF(K89&gt;=0.1,"Low","Very Low")))))</f>
        <v>Moderate</v>
      </c>
    </row>
    <row r="90" customFormat="false" ht="15" hidden="false" customHeight="false" outlineLevel="0" collapsed="false">
      <c r="A90" s="4" t="n">
        <v>86</v>
      </c>
      <c r="B90" s="4" t="n">
        <v>73</v>
      </c>
      <c r="C90" s="5" t="s">
        <v>130</v>
      </c>
      <c r="D90" s="4" t="s">
        <v>83</v>
      </c>
      <c r="E90" s="4" t="s">
        <v>24</v>
      </c>
      <c r="F90" s="6" t="s">
        <v>31</v>
      </c>
      <c r="G90" s="7" t="n">
        <v>0.82</v>
      </c>
      <c r="H90" s="7" t="n">
        <v>0.54</v>
      </c>
      <c r="I90" s="7" t="n">
        <v>0.48</v>
      </c>
      <c r="J90" s="8" t="n">
        <f aca="false">IF(I90=0,0,(G90*H90)/I90)</f>
        <v>0.9225</v>
      </c>
      <c r="K90" s="9" t="n">
        <f aca="false">IF(J90=0,0,(J90-MIN(J$5:J$654))/(MAX(J$5:J$654)-MIN(J$5:J$654)))</f>
        <v>0.366071428571429</v>
      </c>
      <c r="L90" s="10" t="str">
        <f aca="false">IF(K90=0,"Very Low",IF(K90&gt;=0.6,"Very High",IF(K90&gt;=0.4,"High",IF(K90&gt;=0.2,"Moderate",IF(K90&gt;=0.1,"Low","Very Low")))))</f>
        <v>Moderate</v>
      </c>
    </row>
    <row r="91" customFormat="false" ht="15" hidden="false" customHeight="false" outlineLevel="0" collapsed="false">
      <c r="A91" s="4" t="n">
        <v>87</v>
      </c>
      <c r="B91" s="4" t="n">
        <v>73</v>
      </c>
      <c r="C91" s="5" t="s">
        <v>131</v>
      </c>
      <c r="D91" s="4" t="s">
        <v>83</v>
      </c>
      <c r="E91" s="4" t="s">
        <v>24</v>
      </c>
      <c r="F91" s="6" t="s">
        <v>31</v>
      </c>
      <c r="G91" s="7" t="n">
        <v>0.76</v>
      </c>
      <c r="H91" s="7" t="n">
        <v>0.51</v>
      </c>
      <c r="I91" s="7" t="n">
        <v>0.42</v>
      </c>
      <c r="J91" s="8" t="n">
        <f aca="false">IF(I91=0,0,(G91*H91)/I91)</f>
        <v>0.922857142857143</v>
      </c>
      <c r="K91" s="9" t="n">
        <f aca="false">IF(J91=0,0,(J91-MIN(J$5:J$654))/(MAX(J$5:J$654)-MIN(J$5:J$654)))</f>
        <v>0.366213151927438</v>
      </c>
      <c r="L91" s="10" t="str">
        <f aca="false">IF(K91=0,"Very Low",IF(K91&gt;=0.6,"Very High",IF(K91&gt;=0.4,"High",IF(K91&gt;=0.2,"Moderate",IF(K91&gt;=0.1,"Low","Very Low")))))</f>
        <v>Moderate</v>
      </c>
    </row>
    <row r="92" customFormat="false" ht="15" hidden="false" customHeight="false" outlineLevel="0" collapsed="false">
      <c r="A92" s="4" t="n">
        <v>88</v>
      </c>
      <c r="B92" s="4" t="n">
        <v>74</v>
      </c>
      <c r="C92" s="5" t="s">
        <v>132</v>
      </c>
      <c r="D92" s="4" t="s">
        <v>29</v>
      </c>
      <c r="E92" s="4" t="s">
        <v>30</v>
      </c>
      <c r="F92" s="6" t="s">
        <v>31</v>
      </c>
      <c r="G92" s="7" t="n">
        <v>0.68</v>
      </c>
      <c r="H92" s="7" t="n">
        <v>0.7</v>
      </c>
      <c r="I92" s="7" t="n">
        <v>0.52</v>
      </c>
      <c r="J92" s="8" t="n">
        <f aca="false">IF(I92=0,0,(G92*H92)/I92)</f>
        <v>0.915384615384615</v>
      </c>
      <c r="K92" s="9" t="n">
        <f aca="false">IF(J92=0,0,(J92-MIN(J$5:J$654))/(MAX(J$5:J$654)-MIN(J$5:J$654)))</f>
        <v>0.363247863247863</v>
      </c>
      <c r="L92" s="10" t="str">
        <f aca="false">IF(K92=0,"Very Low",IF(K92&gt;=0.6,"Very High",IF(K92&gt;=0.4,"High",IF(K92&gt;=0.2,"Moderate",IF(K92&gt;=0.1,"Low","Very Low")))))</f>
        <v>Moderate</v>
      </c>
    </row>
    <row r="93" customFormat="false" ht="15" hidden="false" customHeight="false" outlineLevel="0" collapsed="false">
      <c r="A93" s="4" t="n">
        <v>89</v>
      </c>
      <c r="B93" s="4" t="n">
        <v>75</v>
      </c>
      <c r="C93" s="5" t="s">
        <v>133</v>
      </c>
      <c r="D93" s="4" t="s">
        <v>40</v>
      </c>
      <c r="E93" s="4" t="s">
        <v>20</v>
      </c>
      <c r="F93" s="6" t="s">
        <v>17</v>
      </c>
      <c r="G93" s="7" t="n">
        <v>0.87</v>
      </c>
      <c r="H93" s="7" t="n">
        <v>0.68</v>
      </c>
      <c r="I93" s="7" t="n">
        <v>0.29</v>
      </c>
      <c r="J93" s="8" t="n">
        <f aca="false">IF(I93=0,0,(G93*H93)/I93)</f>
        <v>2.04</v>
      </c>
      <c r="K93" s="9" t="n">
        <f aca="false">IF(J93=0,0,(J93-MIN(J$5:J$654))/(MAX(J$5:J$654)-MIN(J$5:J$654)))</f>
        <v>0.80952380952381</v>
      </c>
      <c r="L93" s="10" t="str">
        <f aca="false">IF(K93=0,"Very Low",IF(K93&gt;=0.6,"Very High",IF(K93&gt;=0.4,"High",IF(K93&gt;=0.2,"Moderate",IF(K93&gt;=0.1,"Low","Very Low")))))</f>
        <v>Very High</v>
      </c>
    </row>
    <row r="94" customFormat="false" ht="15" hidden="false" customHeight="false" outlineLevel="0" collapsed="false">
      <c r="A94" s="4" t="n">
        <v>90</v>
      </c>
      <c r="B94" s="4" t="n">
        <v>76</v>
      </c>
      <c r="C94" s="5" t="s">
        <v>134</v>
      </c>
      <c r="D94" s="4" t="s">
        <v>59</v>
      </c>
      <c r="E94" s="4" t="s">
        <v>60</v>
      </c>
      <c r="F94" s="6" t="s">
        <v>25</v>
      </c>
      <c r="G94" s="7" t="n">
        <v>0.57</v>
      </c>
      <c r="H94" s="7" t="n">
        <v>0.81</v>
      </c>
      <c r="I94" s="7" t="n">
        <v>0.38</v>
      </c>
      <c r="J94" s="8" t="n">
        <f aca="false">IF(I94=0,0,(G94*H94)/I94)</f>
        <v>1.215</v>
      </c>
      <c r="K94" s="9" t="n">
        <f aca="false">IF(J94=0,0,(J94-MIN(J$5:J$654))/(MAX(J$5:J$654)-MIN(J$5:J$654)))</f>
        <v>0.482142857142857</v>
      </c>
      <c r="L94" s="10" t="str">
        <f aca="false">IF(K94=0,"Very Low",IF(K94&gt;=0.6,"Very High",IF(K94&gt;=0.4,"High",IF(K94&gt;=0.2,"Moderate",IF(K94&gt;=0.1,"Low","Very Low")))))</f>
        <v>High</v>
      </c>
    </row>
    <row r="95" customFormat="false" ht="15" hidden="false" customHeight="false" outlineLevel="0" collapsed="false">
      <c r="A95" s="4" t="n">
        <v>91</v>
      </c>
      <c r="B95" s="4" t="n">
        <v>77</v>
      </c>
      <c r="C95" s="5" t="s">
        <v>135</v>
      </c>
      <c r="D95" s="4" t="s">
        <v>83</v>
      </c>
      <c r="E95" s="4" t="s">
        <v>24</v>
      </c>
      <c r="F95" s="6" t="s">
        <v>25</v>
      </c>
      <c r="G95" s="7" t="n">
        <v>0.74</v>
      </c>
      <c r="H95" s="7" t="n">
        <v>0.77</v>
      </c>
      <c r="I95" s="7" t="n">
        <v>0.47</v>
      </c>
      <c r="J95" s="8" t="n">
        <f aca="false">IF(I95=0,0,(G95*H95)/I95)</f>
        <v>1.21234042553192</v>
      </c>
      <c r="K95" s="9" t="n">
        <f aca="false">IF(J95=0,0,(J95-MIN(J$5:J$654))/(MAX(J$5:J$654)-MIN(J$5:J$654)))</f>
        <v>0.481087470449173</v>
      </c>
      <c r="L95" s="10" t="str">
        <f aca="false">IF(K95=0,"Very Low",IF(K95&gt;=0.6,"Very High",IF(K95&gt;=0.4,"High",IF(K95&gt;=0.2,"Moderate",IF(K95&gt;=0.1,"Low","Very Low")))))</f>
        <v>High</v>
      </c>
    </row>
    <row r="96" customFormat="false" ht="15" hidden="false" customHeight="false" outlineLevel="0" collapsed="false">
      <c r="A96" s="4" t="n">
        <v>92</v>
      </c>
      <c r="B96" s="4" t="n">
        <v>78</v>
      </c>
      <c r="C96" s="5" t="s">
        <v>136</v>
      </c>
      <c r="D96" s="4" t="s">
        <v>40</v>
      </c>
      <c r="E96" s="4" t="s">
        <v>20</v>
      </c>
      <c r="F96" s="6" t="s">
        <v>27</v>
      </c>
      <c r="G96" s="7" t="n">
        <v>0.4</v>
      </c>
      <c r="H96" s="7" t="n">
        <v>0.85</v>
      </c>
      <c r="I96" s="7" t="n">
        <v>0.29</v>
      </c>
      <c r="J96" s="8" t="n">
        <f aca="false">IF(I96=0,0,(G96*H96)/I96)</f>
        <v>1.17241379310345</v>
      </c>
      <c r="K96" s="9" t="n">
        <f aca="false">IF(J96=0,0,(J96-MIN(J$5:J$654))/(MAX(J$5:J$654)-MIN(J$5:J$654)))</f>
        <v>0.465243568691845</v>
      </c>
      <c r="L96" s="10" t="str">
        <f aca="false">IF(K96=0,"Very Low",IF(K96&gt;=0.6,"Very High",IF(K96&gt;=0.4,"High",IF(K96&gt;=0.2,"Moderate",IF(K96&gt;=0.1,"Low","Very Low")))))</f>
        <v>High</v>
      </c>
    </row>
    <row r="97" customFormat="false" ht="15" hidden="false" customHeight="false" outlineLevel="0" collapsed="false">
      <c r="A97" s="4" t="n">
        <v>93</v>
      </c>
      <c r="B97" s="4" t="n">
        <v>79</v>
      </c>
      <c r="C97" s="5" t="s">
        <v>137</v>
      </c>
      <c r="D97" s="4" t="s">
        <v>40</v>
      </c>
      <c r="E97" s="4" t="s">
        <v>20</v>
      </c>
      <c r="F97" s="6" t="s">
        <v>25</v>
      </c>
      <c r="G97" s="7" t="n">
        <v>0.74</v>
      </c>
      <c r="H97" s="7" t="n">
        <v>0.58</v>
      </c>
      <c r="I97" s="7" t="n">
        <v>0.36</v>
      </c>
      <c r="J97" s="8" t="n">
        <f aca="false">IF(I97=0,0,(G97*H97)/I97)</f>
        <v>1.19222222222222</v>
      </c>
      <c r="K97" s="9" t="n">
        <f aca="false">IF(J97=0,0,(J97-MIN(J$5:J$654))/(MAX(J$5:J$654)-MIN(J$5:J$654)))</f>
        <v>0.47310405643739</v>
      </c>
      <c r="L97" s="10" t="str">
        <f aca="false">IF(K97=0,"Very Low",IF(K97&gt;=0.6,"Very High",IF(K97&gt;=0.4,"High",IF(K97&gt;=0.2,"Moderate",IF(K97&gt;=0.1,"Low","Very Low")))))</f>
        <v>High</v>
      </c>
    </row>
    <row r="98" customFormat="false" ht="15" hidden="false" customHeight="false" outlineLevel="0" collapsed="false">
      <c r="A98" s="4" t="n">
        <v>94</v>
      </c>
      <c r="B98" s="4" t="n">
        <v>79</v>
      </c>
      <c r="C98" s="5" t="s">
        <v>138</v>
      </c>
      <c r="D98" s="4" t="s">
        <v>29</v>
      </c>
      <c r="E98" s="4" t="s">
        <v>30</v>
      </c>
      <c r="F98" s="6" t="s">
        <v>31</v>
      </c>
      <c r="G98" s="7" t="n">
        <v>0.76</v>
      </c>
      <c r="H98" s="7" t="n">
        <v>0.46</v>
      </c>
      <c r="I98" s="7" t="n">
        <v>0.4</v>
      </c>
      <c r="J98" s="8" t="n">
        <f aca="false">IF(I98=0,0,(G98*H98)/I98)</f>
        <v>0.874</v>
      </c>
      <c r="K98" s="9" t="n">
        <f aca="false">IF(J98=0,0,(J98-MIN(J$5:J$654))/(MAX(J$5:J$654)-MIN(J$5:J$654)))</f>
        <v>0.346825396825397</v>
      </c>
      <c r="L98" s="10" t="str">
        <f aca="false">IF(K98=0,"Very Low",IF(K98&gt;=0.6,"Very High",IF(K98&gt;=0.4,"High",IF(K98&gt;=0.2,"Moderate",IF(K98&gt;=0.1,"Low","Very Low")))))</f>
        <v>Moderate</v>
      </c>
    </row>
    <row r="99" customFormat="false" ht="15" hidden="false" customHeight="false" outlineLevel="0" collapsed="false">
      <c r="A99" s="4" t="n">
        <v>95</v>
      </c>
      <c r="B99" s="4" t="n">
        <v>80</v>
      </c>
      <c r="C99" s="5" t="s">
        <v>139</v>
      </c>
      <c r="D99" s="4" t="s">
        <v>40</v>
      </c>
      <c r="E99" s="4" t="s">
        <v>20</v>
      </c>
      <c r="F99" s="6" t="s">
        <v>25</v>
      </c>
      <c r="G99" s="7" t="n">
        <v>0.63</v>
      </c>
      <c r="H99" s="7" t="n">
        <v>0.68</v>
      </c>
      <c r="I99" s="7" t="n">
        <v>0.36</v>
      </c>
      <c r="J99" s="8" t="n">
        <f aca="false">IF(I99=0,0,(G99*H99)/I99)</f>
        <v>1.19</v>
      </c>
      <c r="K99" s="9" t="n">
        <f aca="false">IF(J99=0,0,(J99-MIN(J$5:J$654))/(MAX(J$5:J$654)-MIN(J$5:J$654)))</f>
        <v>0.472222222222222</v>
      </c>
      <c r="L99" s="10" t="str">
        <f aca="false">IF(K99=0,"Very Low",IF(K99&gt;=0.6,"Very High",IF(K99&gt;=0.4,"High",IF(K99&gt;=0.2,"Moderate",IF(K99&gt;=0.1,"Low","Very Low")))))</f>
        <v>High</v>
      </c>
    </row>
    <row r="100" customFormat="false" ht="15" hidden="false" customHeight="false" outlineLevel="0" collapsed="false">
      <c r="A100" s="4" t="n">
        <v>96</v>
      </c>
      <c r="B100" s="4" t="n">
        <v>81</v>
      </c>
      <c r="C100" s="5" t="s">
        <v>140</v>
      </c>
      <c r="D100" s="4" t="s">
        <v>15</v>
      </c>
      <c r="E100" s="4" t="s">
        <v>16</v>
      </c>
      <c r="F100" s="6" t="s">
        <v>17</v>
      </c>
      <c r="G100" s="7" t="n">
        <v>0.7</v>
      </c>
      <c r="H100" s="7" t="n">
        <v>0.85</v>
      </c>
      <c r="I100" s="7" t="n">
        <v>0.47</v>
      </c>
      <c r="J100" s="8" t="n">
        <f aca="false">IF(I100=0,0,(G100*H100)/I100)</f>
        <v>1.26595744680851</v>
      </c>
      <c r="K100" s="9" t="n">
        <f aca="false">IF(J100=0,0,(J100-MIN(J$5:J$654))/(MAX(J$5:J$654)-MIN(J$5:J$654)))</f>
        <v>0.502364066193853</v>
      </c>
      <c r="L100" s="10" t="str">
        <f aca="false">IF(K100=0,"Very Low",IF(K100&gt;=0.6,"Very High",IF(K100&gt;=0.4,"High",IF(K100&gt;=0.2,"Moderate",IF(K100&gt;=0.1,"Low","Very Low")))))</f>
        <v>High</v>
      </c>
    </row>
    <row r="101" customFormat="false" ht="15" hidden="false" customHeight="false" outlineLevel="0" collapsed="false">
      <c r="A101" s="4" t="n">
        <v>97</v>
      </c>
      <c r="B101" s="4" t="n">
        <v>82</v>
      </c>
      <c r="C101" s="5" t="s">
        <v>141</v>
      </c>
      <c r="D101" s="4" t="s">
        <v>29</v>
      </c>
      <c r="E101" s="4" t="s">
        <v>30</v>
      </c>
      <c r="F101" s="6" t="s">
        <v>31</v>
      </c>
      <c r="G101" s="7" t="n">
        <v>0.82</v>
      </c>
      <c r="H101" s="7" t="n">
        <v>0.58</v>
      </c>
      <c r="I101" s="7" t="n">
        <v>0.55</v>
      </c>
      <c r="J101" s="8" t="n">
        <f aca="false">IF(I101=0,0,(G101*H101)/I101)</f>
        <v>0.864727272727273</v>
      </c>
      <c r="K101" s="9" t="n">
        <f aca="false">IF(J101=0,0,(J101-MIN(J$5:J$654))/(MAX(J$5:J$654)-MIN(J$5:J$654)))</f>
        <v>0.343145743145743</v>
      </c>
      <c r="L101" s="10" t="str">
        <f aca="false">IF(K101=0,"Very Low",IF(K101&gt;=0.6,"Very High",IF(K101&gt;=0.4,"High",IF(K101&gt;=0.2,"Moderate",IF(K101&gt;=0.1,"Low","Very Low")))))</f>
        <v>Moderate</v>
      </c>
    </row>
    <row r="102" customFormat="false" ht="15" hidden="false" customHeight="false" outlineLevel="0" collapsed="false">
      <c r="A102" s="4" t="n">
        <v>98</v>
      </c>
      <c r="B102" s="4" t="n">
        <v>83</v>
      </c>
      <c r="C102" s="5" t="s">
        <v>142</v>
      </c>
      <c r="D102" s="4" t="s">
        <v>36</v>
      </c>
      <c r="E102" s="4" t="s">
        <v>24</v>
      </c>
      <c r="F102" s="6" t="s">
        <v>27</v>
      </c>
      <c r="G102" s="7" t="n">
        <v>0.525</v>
      </c>
      <c r="H102" s="7" t="n">
        <v>0.81</v>
      </c>
      <c r="I102" s="7" t="n">
        <v>0.37</v>
      </c>
      <c r="J102" s="8" t="n">
        <f aca="false">IF(I102=0,0,(G102*H102)/I102)</f>
        <v>1.14932432432432</v>
      </c>
      <c r="K102" s="9" t="n">
        <f aca="false">IF(J102=0,0,(J102-MIN(J$5:J$654))/(MAX(J$5:J$654)-MIN(J$5:J$654)))</f>
        <v>0.456081081081081</v>
      </c>
      <c r="L102" s="10" t="str">
        <f aca="false">IF(K102=0,"Very Low",IF(K102&gt;=0.6,"Very High",IF(K102&gt;=0.4,"High",IF(K102&gt;=0.2,"Moderate",IF(K102&gt;=0.1,"Low","Very Low")))))</f>
        <v>High</v>
      </c>
    </row>
    <row r="103" customFormat="false" ht="15" hidden="false" customHeight="false" outlineLevel="0" collapsed="false">
      <c r="A103" s="4" t="n">
        <v>99</v>
      </c>
      <c r="B103" s="4" t="n">
        <v>84</v>
      </c>
      <c r="C103" s="5" t="s">
        <v>143</v>
      </c>
      <c r="D103" s="4" t="s">
        <v>15</v>
      </c>
      <c r="E103" s="4" t="s">
        <v>16</v>
      </c>
      <c r="F103" s="6" t="s">
        <v>25</v>
      </c>
      <c r="G103" s="7" t="n">
        <v>0.96</v>
      </c>
      <c r="H103" s="7" t="n">
        <v>0.61</v>
      </c>
      <c r="I103" s="7" t="n">
        <v>0.5</v>
      </c>
      <c r="J103" s="8" t="n">
        <f aca="false">IF(I103=0,0,(G103*H103)/I103)</f>
        <v>1.1712</v>
      </c>
      <c r="K103" s="9" t="n">
        <f aca="false">IF(J103=0,0,(J103-MIN(J$5:J$654))/(MAX(J$5:J$654)-MIN(J$5:J$654)))</f>
        <v>0.464761904761905</v>
      </c>
      <c r="L103" s="10" t="str">
        <f aca="false">IF(K103=0,"Very Low",IF(K103&gt;=0.6,"Very High",IF(K103&gt;=0.4,"High",IF(K103&gt;=0.2,"Moderate",IF(K103&gt;=0.1,"Low","Very Low")))))</f>
        <v>High</v>
      </c>
    </row>
    <row r="104" customFormat="false" ht="15" hidden="false" customHeight="false" outlineLevel="0" collapsed="false">
      <c r="A104" s="4" t="n">
        <v>100</v>
      </c>
      <c r="B104" s="4" t="n">
        <v>85</v>
      </c>
      <c r="C104" s="5" t="s">
        <v>144</v>
      </c>
      <c r="D104" s="4" t="s">
        <v>83</v>
      </c>
      <c r="E104" s="4" t="s">
        <v>24</v>
      </c>
      <c r="F104" s="6" t="s">
        <v>31</v>
      </c>
      <c r="G104" s="7" t="n">
        <v>0.82</v>
      </c>
      <c r="H104" s="7" t="n">
        <v>0.52</v>
      </c>
      <c r="I104" s="7" t="n">
        <v>0.5</v>
      </c>
      <c r="J104" s="8" t="n">
        <f aca="false">IF(I104=0,0,(G104*H104)/I104)</f>
        <v>0.8528</v>
      </c>
      <c r="K104" s="9" t="n">
        <f aca="false">IF(J104=0,0,(J104-MIN(J$5:J$654))/(MAX(J$5:J$654)-MIN(J$5:J$654)))</f>
        <v>0.338412698412698</v>
      </c>
      <c r="L104" s="10" t="str">
        <f aca="false">IF(K104=0,"Very Low",IF(K104&gt;=0.6,"Very High",IF(K104&gt;=0.4,"High",IF(K104&gt;=0.2,"Moderate",IF(K104&gt;=0.1,"Low","Very Low")))))</f>
        <v>Moderate</v>
      </c>
    </row>
    <row r="105" customFormat="false" ht="15" hidden="false" customHeight="false" outlineLevel="0" collapsed="false">
      <c r="A105" s="4" t="n">
        <v>101</v>
      </c>
      <c r="B105" s="4" t="n">
        <v>86</v>
      </c>
      <c r="C105" s="5" t="s">
        <v>145</v>
      </c>
      <c r="D105" s="4" t="s">
        <v>44</v>
      </c>
      <c r="E105" s="4" t="s">
        <v>30</v>
      </c>
      <c r="F105" s="6" t="s">
        <v>17</v>
      </c>
      <c r="G105" s="7" t="n">
        <v>0.87</v>
      </c>
      <c r="H105" s="7" t="n">
        <v>0.91</v>
      </c>
      <c r="I105" s="7" t="n">
        <v>0.46</v>
      </c>
      <c r="J105" s="8" t="n">
        <f aca="false">IF(I105=0,0,(G105*H105)/I105)</f>
        <v>1.72108695652174</v>
      </c>
      <c r="K105" s="9" t="n">
        <f aca="false">IF(J105=0,0,(J105-MIN(J$5:J$654))/(MAX(J$5:J$654)-MIN(J$5:J$654)))</f>
        <v>0.682971014492754</v>
      </c>
      <c r="L105" s="10" t="str">
        <f aca="false">IF(K105=0,"Very Low",IF(K105&gt;=0.6,"Very High",IF(K105&gt;=0.4,"High",IF(K105&gt;=0.2,"Moderate",IF(K105&gt;=0.1,"Low","Very Low")))))</f>
        <v>Very High</v>
      </c>
    </row>
    <row r="106" customFormat="false" ht="15" hidden="false" customHeight="false" outlineLevel="0" collapsed="false">
      <c r="A106" s="4" t="n">
        <v>102</v>
      </c>
      <c r="B106" s="4" t="n">
        <v>87</v>
      </c>
      <c r="C106" s="5" t="s">
        <v>146</v>
      </c>
      <c r="D106" s="4" t="s">
        <v>29</v>
      </c>
      <c r="E106" s="4" t="s">
        <v>30</v>
      </c>
      <c r="F106" s="6" t="s">
        <v>25</v>
      </c>
      <c r="G106" s="7" t="n">
        <v>0.74</v>
      </c>
      <c r="H106" s="7" t="n">
        <v>0.81</v>
      </c>
      <c r="I106" s="7" t="n">
        <v>0.52</v>
      </c>
      <c r="J106" s="8" t="n">
        <f aca="false">IF(I106=0,0,(G106*H106)/I106)</f>
        <v>1.15269230769231</v>
      </c>
      <c r="K106" s="9" t="n">
        <f aca="false">IF(J106=0,0,(J106-MIN(J$5:J$654))/(MAX(J$5:J$654)-MIN(J$5:J$654)))</f>
        <v>0.457417582417582</v>
      </c>
      <c r="L106" s="10" t="str">
        <f aca="false">IF(K106=0,"Very Low",IF(K106&gt;=0.6,"Very High",IF(K106&gt;=0.4,"High",IF(K106&gt;=0.2,"Moderate",IF(K106&gt;=0.1,"Low","Very Low")))))</f>
        <v>High</v>
      </c>
    </row>
    <row r="107" customFormat="false" ht="15" hidden="false" customHeight="false" outlineLevel="0" collapsed="false">
      <c r="A107" s="4" t="n">
        <v>103</v>
      </c>
      <c r="B107" s="4" t="n">
        <v>87</v>
      </c>
      <c r="C107" s="5" t="s">
        <v>147</v>
      </c>
      <c r="D107" s="4" t="s">
        <v>40</v>
      </c>
      <c r="E107" s="4" t="s">
        <v>20</v>
      </c>
      <c r="F107" s="6" t="s">
        <v>25</v>
      </c>
      <c r="G107" s="7" t="n">
        <v>0.74</v>
      </c>
      <c r="H107" s="7" t="n">
        <v>0.81</v>
      </c>
      <c r="I107" s="7" t="n">
        <v>0.52</v>
      </c>
      <c r="J107" s="8" t="n">
        <f aca="false">IF(I107=0,0,(G107*H107)/I107)</f>
        <v>1.15269230769231</v>
      </c>
      <c r="K107" s="9" t="n">
        <f aca="false">IF(J107=0,0,(J107-MIN(J$5:J$654))/(MAX(J$5:J$654)-MIN(J$5:J$654)))</f>
        <v>0.457417582417582</v>
      </c>
      <c r="L107" s="10" t="str">
        <f aca="false">IF(K107=0,"Very Low",IF(K107&gt;=0.6,"Very High",IF(K107&gt;=0.4,"High",IF(K107&gt;=0.2,"Moderate",IF(K107&gt;=0.1,"Low","Very Low")))))</f>
        <v>High</v>
      </c>
    </row>
    <row r="108" customFormat="false" ht="15" hidden="false" customHeight="false" outlineLevel="0" collapsed="false">
      <c r="A108" s="4" t="n">
        <v>104</v>
      </c>
      <c r="B108" s="4" t="n">
        <v>88</v>
      </c>
      <c r="C108" s="5" t="s">
        <v>148</v>
      </c>
      <c r="D108" s="4" t="s">
        <v>15</v>
      </c>
      <c r="E108" s="4" t="s">
        <v>16</v>
      </c>
      <c r="F108" s="6" t="s">
        <v>25</v>
      </c>
      <c r="G108" s="7" t="n">
        <v>0.93</v>
      </c>
      <c r="H108" s="7" t="n">
        <v>0.63</v>
      </c>
      <c r="I108" s="7" t="n">
        <v>0.51</v>
      </c>
      <c r="J108" s="8" t="n">
        <f aca="false">IF(I108=0,0,(G108*H108)/I108)</f>
        <v>1.14882352941176</v>
      </c>
      <c r="K108" s="9" t="n">
        <f aca="false">IF(J108=0,0,(J108-MIN(J$5:J$654))/(MAX(J$5:J$654)-MIN(J$5:J$654)))</f>
        <v>0.455882352941177</v>
      </c>
      <c r="L108" s="10" t="str">
        <f aca="false">IF(K108=0,"Very Low",IF(K108&gt;=0.6,"Very High",IF(K108&gt;=0.4,"High",IF(K108&gt;=0.2,"Moderate",IF(K108&gt;=0.1,"Low","Very Low")))))</f>
        <v>High</v>
      </c>
    </row>
    <row r="109" customFormat="false" ht="15" hidden="false" customHeight="false" outlineLevel="0" collapsed="false">
      <c r="A109" s="4" t="n">
        <v>105</v>
      </c>
      <c r="B109" s="4" t="n">
        <v>89</v>
      </c>
      <c r="C109" s="5" t="s">
        <v>149</v>
      </c>
      <c r="D109" s="4" t="s">
        <v>40</v>
      </c>
      <c r="E109" s="4" t="s">
        <v>20</v>
      </c>
      <c r="F109" s="6" t="s">
        <v>17</v>
      </c>
      <c r="G109" s="7" t="n">
        <v>0.47</v>
      </c>
      <c r="H109" s="7" t="n">
        <v>0.85</v>
      </c>
      <c r="I109" s="7" t="n">
        <v>0.32</v>
      </c>
      <c r="J109" s="8" t="n">
        <f aca="false">IF(I109=0,0,(G109*H109)/I109)</f>
        <v>1.2484375</v>
      </c>
      <c r="K109" s="9" t="n">
        <f aca="false">IF(J109=0,0,(J109-MIN(J$5:J$654))/(MAX(J$5:J$654)-MIN(J$5:J$654)))</f>
        <v>0.495411706349206</v>
      </c>
      <c r="L109" s="10" t="str">
        <f aca="false">IF(K109=0,"Very Low",IF(K109&gt;=0.6,"Very High",IF(K109&gt;=0.4,"High",IF(K109&gt;=0.2,"Moderate",IF(K109&gt;=0.1,"Low","Very Low")))))</f>
        <v>High</v>
      </c>
    </row>
    <row r="110" customFormat="false" ht="15" hidden="false" customHeight="false" outlineLevel="0" collapsed="false">
      <c r="A110" s="4" t="n">
        <v>106</v>
      </c>
      <c r="B110" s="4" t="n">
        <v>90</v>
      </c>
      <c r="C110" s="5" t="s">
        <v>150</v>
      </c>
      <c r="D110" s="4" t="s">
        <v>40</v>
      </c>
      <c r="E110" s="4" t="s">
        <v>20</v>
      </c>
      <c r="F110" s="6" t="s">
        <v>34</v>
      </c>
      <c r="G110" s="7" t="n">
        <v>0.545</v>
      </c>
      <c r="H110" s="7" t="n">
        <v>0.74</v>
      </c>
      <c r="I110" s="7" t="n">
        <v>0.37</v>
      </c>
      <c r="J110" s="8" t="n">
        <f aca="false">IF(I110=0,0,(G110*H110)/I110)</f>
        <v>1.09</v>
      </c>
      <c r="K110" s="9" t="n">
        <f aca="false">IF(J110=0,0,(J110-MIN(J$5:J$654))/(MAX(J$5:J$654)-MIN(J$5:J$654)))</f>
        <v>0.432539682539683</v>
      </c>
      <c r="L110" s="10" t="str">
        <f aca="false">IF(K110=0,"Very Low",IF(K110&gt;=0.6,"Very High",IF(K110&gt;=0.4,"High",IF(K110&gt;=0.2,"Moderate",IF(K110&gt;=0.1,"Low","Very Low")))))</f>
        <v>High</v>
      </c>
    </row>
    <row r="111" customFormat="false" ht="15" hidden="false" customHeight="false" outlineLevel="0" collapsed="false">
      <c r="A111" s="4" t="n">
        <v>107</v>
      </c>
      <c r="B111" s="4" t="n">
        <v>91</v>
      </c>
      <c r="C111" s="5" t="s">
        <v>151</v>
      </c>
      <c r="D111" s="4" t="s">
        <v>36</v>
      </c>
      <c r="E111" s="4" t="s">
        <v>24</v>
      </c>
      <c r="F111" s="6" t="s">
        <v>27</v>
      </c>
      <c r="G111" s="7" t="n">
        <v>0.575</v>
      </c>
      <c r="H111" s="7" t="n">
        <v>0.7</v>
      </c>
      <c r="I111" s="7" t="n">
        <v>0.36</v>
      </c>
      <c r="J111" s="8" t="n">
        <f aca="false">IF(I111=0,0,(G111*H111)/I111)</f>
        <v>1.11805555555556</v>
      </c>
      <c r="K111" s="9" t="n">
        <f aca="false">IF(J111=0,0,(J111-MIN(J$5:J$654))/(MAX(J$5:J$654)-MIN(J$5:J$654)))</f>
        <v>0.443672839506173</v>
      </c>
      <c r="L111" s="10" t="str">
        <f aca="false">IF(K111=0,"Very Low",IF(K111&gt;=0.6,"Very High",IF(K111&gt;=0.4,"High",IF(K111&gt;=0.2,"Moderate",IF(K111&gt;=0.1,"Low","Very Low")))))</f>
        <v>High</v>
      </c>
    </row>
    <row r="112" customFormat="false" ht="15" hidden="false" customHeight="false" outlineLevel="0" collapsed="false">
      <c r="A112" s="4" t="n">
        <v>108</v>
      </c>
      <c r="B112" s="4" t="n">
        <v>92</v>
      </c>
      <c r="C112" s="5" t="s">
        <v>152</v>
      </c>
      <c r="D112" s="4" t="s">
        <v>44</v>
      </c>
      <c r="E112" s="4" t="s">
        <v>30</v>
      </c>
      <c r="F112" s="6" t="s">
        <v>25</v>
      </c>
      <c r="G112" s="7" t="n">
        <v>0.86</v>
      </c>
      <c r="H112" s="7" t="n">
        <v>0.62</v>
      </c>
      <c r="I112" s="7" t="n">
        <v>0.47</v>
      </c>
      <c r="J112" s="8" t="n">
        <f aca="false">IF(I112=0,0,(G112*H112)/I112)</f>
        <v>1.13446808510638</v>
      </c>
      <c r="K112" s="9" t="n">
        <f aca="false">IF(J112=0,0,(J112-MIN(J$5:J$654))/(MAX(J$5:J$654)-MIN(J$5:J$654)))</f>
        <v>0.450185748058089</v>
      </c>
      <c r="L112" s="10" t="str">
        <f aca="false">IF(K112=0,"Very Low",IF(K112&gt;=0.6,"Very High",IF(K112&gt;=0.4,"High",IF(K112&gt;=0.2,"Moderate",IF(K112&gt;=0.1,"Low","Very Low")))))</f>
        <v>High</v>
      </c>
    </row>
    <row r="113" customFormat="false" ht="15" hidden="false" customHeight="false" outlineLevel="0" collapsed="false">
      <c r="A113" s="4" t="n">
        <v>109</v>
      </c>
      <c r="B113" s="4" t="n">
        <v>92</v>
      </c>
      <c r="C113" s="5" t="s">
        <v>153</v>
      </c>
      <c r="D113" s="4" t="s">
        <v>79</v>
      </c>
      <c r="E113" s="4" t="s">
        <v>60</v>
      </c>
      <c r="F113" s="6" t="s">
        <v>17</v>
      </c>
      <c r="G113" s="7" t="n">
        <v>0.81</v>
      </c>
      <c r="H113" s="7" t="n">
        <v>0.91</v>
      </c>
      <c r="I113" s="7" t="n">
        <v>0.55</v>
      </c>
      <c r="J113" s="8" t="n">
        <f aca="false">IF(I113=0,0,(G113*H113)/I113)</f>
        <v>1.34018181818182</v>
      </c>
      <c r="K113" s="9" t="n">
        <f aca="false">IF(J113=0,0,(J113-MIN(J$5:J$654))/(MAX(J$5:J$654)-MIN(J$5:J$654)))</f>
        <v>0.531818181818182</v>
      </c>
      <c r="L113" s="10" t="str">
        <f aca="false">IF(K113=0,"Very Low",IF(K113&gt;=0.6,"Very High",IF(K113&gt;=0.4,"High",IF(K113&gt;=0.2,"Moderate",IF(K113&gt;=0.1,"Low","Very Low")))))</f>
        <v>High</v>
      </c>
    </row>
    <row r="114" customFormat="false" ht="15" hidden="false" customHeight="false" outlineLevel="0" collapsed="false">
      <c r="A114" s="4" t="n">
        <v>110</v>
      </c>
      <c r="B114" s="4" t="n">
        <v>93</v>
      </c>
      <c r="C114" s="5" t="s">
        <v>154</v>
      </c>
      <c r="D114" s="4" t="s">
        <v>36</v>
      </c>
      <c r="E114" s="4" t="s">
        <v>24</v>
      </c>
      <c r="F114" s="6" t="s">
        <v>31</v>
      </c>
      <c r="G114" s="7" t="n">
        <v>0.68</v>
      </c>
      <c r="H114" s="7" t="n">
        <v>0.44</v>
      </c>
      <c r="I114" s="7" t="n">
        <v>0.36</v>
      </c>
      <c r="J114" s="8" t="n">
        <f aca="false">IF(I114=0,0,(G114*H114)/I114)</f>
        <v>0.831111111111111</v>
      </c>
      <c r="K114" s="9" t="n">
        <f aca="false">IF(J114=0,0,(J114-MIN(J$5:J$654))/(MAX(J$5:J$654)-MIN(J$5:J$654)))</f>
        <v>0.329805996472663</v>
      </c>
      <c r="L114" s="10" t="str">
        <f aca="false">IF(K114=0,"Very Low",IF(K114&gt;=0.6,"Very High",IF(K114&gt;=0.4,"High",IF(K114&gt;=0.2,"Moderate",IF(K114&gt;=0.1,"Low","Very Low")))))</f>
        <v>Moderate</v>
      </c>
    </row>
    <row r="115" customFormat="false" ht="15" hidden="false" customHeight="false" outlineLevel="0" collapsed="false">
      <c r="A115" s="4" t="n">
        <v>111</v>
      </c>
      <c r="B115" s="4" t="n">
        <v>94</v>
      </c>
      <c r="C115" s="5" t="s">
        <v>155</v>
      </c>
      <c r="D115" s="4" t="s">
        <v>19</v>
      </c>
      <c r="E115" s="4" t="s">
        <v>20</v>
      </c>
      <c r="F115" s="6" t="s">
        <v>27</v>
      </c>
      <c r="G115" s="7" t="n">
        <v>0.65</v>
      </c>
      <c r="H115" s="7" t="n">
        <v>0.8</v>
      </c>
      <c r="I115" s="7" t="n">
        <v>0.47</v>
      </c>
      <c r="J115" s="8" t="n">
        <f aca="false">IF(I115=0,0,(G115*H115)/I115)</f>
        <v>1.1063829787234</v>
      </c>
      <c r="K115" s="9" t="n">
        <f aca="false">IF(J115=0,0,(J115-MIN(J$5:J$654))/(MAX(J$5:J$654)-MIN(J$5:J$654)))</f>
        <v>0.439040864572779</v>
      </c>
      <c r="L115" s="10" t="str">
        <f aca="false">IF(K115=0,"Very Low",IF(K115&gt;=0.6,"Very High",IF(K115&gt;=0.4,"High",IF(K115&gt;=0.2,"Moderate",IF(K115&gt;=0.1,"Low","Very Low")))))</f>
        <v>High</v>
      </c>
    </row>
    <row r="116" customFormat="false" ht="15" hidden="false" customHeight="false" outlineLevel="0" collapsed="false">
      <c r="A116" s="4" t="n">
        <v>112</v>
      </c>
      <c r="B116" s="4" t="n">
        <v>95</v>
      </c>
      <c r="C116" s="5" t="s">
        <v>156</v>
      </c>
      <c r="D116" s="4" t="s">
        <v>95</v>
      </c>
      <c r="E116" s="4" t="s">
        <v>20</v>
      </c>
      <c r="F116" s="6" t="s">
        <v>21</v>
      </c>
      <c r="G116" s="7" t="n">
        <v>0.44</v>
      </c>
      <c r="H116" s="7" t="n">
        <v>0.87</v>
      </c>
      <c r="I116" s="7" t="n">
        <v>0.52</v>
      </c>
      <c r="J116" s="8" t="n">
        <f aca="false">IF(I116=0,0,(G116*H116)/I116)</f>
        <v>0.736153846153846</v>
      </c>
      <c r="K116" s="9" t="n">
        <f aca="false">IF(J116=0,0,(J116-MIN(J$5:J$654))/(MAX(J$5:J$654)-MIN(J$5:J$654)))</f>
        <v>0.292124542124542</v>
      </c>
      <c r="L116" s="10" t="str">
        <f aca="false">IF(K116=0,"Very Low",IF(K116&gt;=0.6,"Very High",IF(K116&gt;=0.4,"High",IF(K116&gt;=0.2,"Moderate",IF(K116&gt;=0.1,"Low","Very Low")))))</f>
        <v>Moderate</v>
      </c>
    </row>
    <row r="117" customFormat="false" ht="15" hidden="false" customHeight="false" outlineLevel="0" collapsed="false">
      <c r="A117" s="4" t="n">
        <v>113</v>
      </c>
      <c r="B117" s="4" t="n">
        <v>96</v>
      </c>
      <c r="C117" s="5" t="s">
        <v>157</v>
      </c>
      <c r="D117" s="4" t="s">
        <v>158</v>
      </c>
      <c r="E117" s="4" t="s">
        <v>16</v>
      </c>
      <c r="F117" s="6" t="s">
        <v>17</v>
      </c>
      <c r="G117" s="7" t="n">
        <v>1</v>
      </c>
      <c r="H117" s="7" t="n">
        <v>0.51</v>
      </c>
      <c r="I117" s="7" t="n">
        <v>0.46</v>
      </c>
      <c r="J117" s="8" t="n">
        <f aca="false">IF(I117=0,0,(G117*H117)/I117)</f>
        <v>1.10869565217391</v>
      </c>
      <c r="K117" s="9" t="n">
        <f aca="false">IF(J117=0,0,(J117-MIN(J$5:J$654))/(MAX(J$5:J$654)-MIN(J$5:J$654)))</f>
        <v>0.439958592132505</v>
      </c>
      <c r="L117" s="10" t="str">
        <f aca="false">IF(K117=0,"Very Low",IF(K117&gt;=0.6,"Very High",IF(K117&gt;=0.4,"High",IF(K117&gt;=0.2,"Moderate",IF(K117&gt;=0.1,"Low","Very Low")))))</f>
        <v>High</v>
      </c>
    </row>
    <row r="118" customFormat="false" ht="15" hidden="false" customHeight="false" outlineLevel="0" collapsed="false">
      <c r="A118" s="4" t="n">
        <v>114</v>
      </c>
      <c r="B118" s="4" t="n">
        <v>97</v>
      </c>
      <c r="C118" s="5" t="s">
        <v>159</v>
      </c>
      <c r="D118" s="4" t="s">
        <v>36</v>
      </c>
      <c r="E118" s="4" t="s">
        <v>24</v>
      </c>
      <c r="F118" s="6" t="s">
        <v>25</v>
      </c>
      <c r="G118" s="7" t="n">
        <v>0.89</v>
      </c>
      <c r="H118" s="7" t="n">
        <v>0.52</v>
      </c>
      <c r="I118" s="7" t="n">
        <v>0.43</v>
      </c>
      <c r="J118" s="8" t="n">
        <f aca="false">IF(I118=0,0,(G118*H118)/I118)</f>
        <v>1.07627906976744</v>
      </c>
      <c r="K118" s="9" t="n">
        <f aca="false">IF(J118=0,0,(J118-MIN(J$5:J$654))/(MAX(J$5:J$654)-MIN(J$5:J$654)))</f>
        <v>0.427094868955334</v>
      </c>
      <c r="L118" s="10" t="str">
        <f aca="false">IF(K118=0,"Very Low",IF(K118&gt;=0.6,"Very High",IF(K118&gt;=0.4,"High",IF(K118&gt;=0.2,"Moderate",IF(K118&gt;=0.1,"Low","Very Low")))))</f>
        <v>High</v>
      </c>
    </row>
    <row r="119" customFormat="false" ht="15" hidden="false" customHeight="false" outlineLevel="0" collapsed="false">
      <c r="A119" s="4" t="n">
        <v>115</v>
      </c>
      <c r="B119" s="4" t="n">
        <v>98</v>
      </c>
      <c r="C119" s="5" t="s">
        <v>160</v>
      </c>
      <c r="D119" s="4" t="s">
        <v>83</v>
      </c>
      <c r="E119" s="4" t="s">
        <v>24</v>
      </c>
      <c r="F119" s="6" t="s">
        <v>25</v>
      </c>
      <c r="G119" s="7" t="n">
        <v>0.63</v>
      </c>
      <c r="H119" s="7" t="n">
        <v>0.83</v>
      </c>
      <c r="I119" s="7" t="n">
        <v>0.49</v>
      </c>
      <c r="J119" s="8" t="n">
        <f aca="false">IF(I119=0,0,(G119*H119)/I119)</f>
        <v>1.06714285714286</v>
      </c>
      <c r="K119" s="9" t="n">
        <f aca="false">IF(J119=0,0,(J119-MIN(J$5:J$654))/(MAX(J$5:J$654)-MIN(J$5:J$654)))</f>
        <v>0.423469387755102</v>
      </c>
      <c r="L119" s="10" t="str">
        <f aca="false">IF(K119=0,"Very Low",IF(K119&gt;=0.6,"Very High",IF(K119&gt;=0.4,"High",IF(K119&gt;=0.2,"Moderate",IF(K119&gt;=0.1,"Low","Very Low")))))</f>
        <v>High</v>
      </c>
    </row>
    <row r="120" customFormat="false" ht="15" hidden="false" customHeight="false" outlineLevel="0" collapsed="false">
      <c r="A120" s="4" t="n">
        <v>116</v>
      </c>
      <c r="B120" s="4" t="n">
        <v>98</v>
      </c>
      <c r="C120" s="5" t="s">
        <v>161</v>
      </c>
      <c r="D120" s="4" t="s">
        <v>162</v>
      </c>
      <c r="E120" s="4" t="s">
        <v>60</v>
      </c>
      <c r="F120" s="6" t="s">
        <v>25</v>
      </c>
      <c r="G120" s="7" t="n">
        <v>0.89</v>
      </c>
      <c r="H120" s="7" t="n">
        <v>0.6</v>
      </c>
      <c r="I120" s="7" t="n">
        <v>0.5</v>
      </c>
      <c r="J120" s="8" t="n">
        <f aca="false">IF(I120=0,0,(G120*H120)/I120)</f>
        <v>1.068</v>
      </c>
      <c r="K120" s="9" t="n">
        <f aca="false">IF(J120=0,0,(J120-MIN(J$5:J$654))/(MAX(J$5:J$654)-MIN(J$5:J$654)))</f>
        <v>0.423809523809524</v>
      </c>
      <c r="L120" s="10" t="str">
        <f aca="false">IF(K120=0,"Very Low",IF(K120&gt;=0.6,"Very High",IF(K120&gt;=0.4,"High",IF(K120&gt;=0.2,"Moderate",IF(K120&gt;=0.1,"Low","Very Low")))))</f>
        <v>High</v>
      </c>
    </row>
    <row r="121" customFormat="false" ht="15" hidden="false" customHeight="false" outlineLevel="0" collapsed="false">
      <c r="A121" s="4" t="n">
        <v>117</v>
      </c>
      <c r="B121" s="4" t="n">
        <v>99</v>
      </c>
      <c r="C121" s="5" t="s">
        <v>163</v>
      </c>
      <c r="D121" s="4" t="s">
        <v>83</v>
      </c>
      <c r="E121" s="4" t="s">
        <v>24</v>
      </c>
      <c r="F121" s="6" t="s">
        <v>31</v>
      </c>
      <c r="G121" s="7" t="n">
        <v>0.82</v>
      </c>
      <c r="H121" s="7" t="n">
        <v>0.36</v>
      </c>
      <c r="I121" s="7" t="n">
        <v>0.38</v>
      </c>
      <c r="J121" s="8" t="n">
        <f aca="false">IF(I121=0,0,(G121*H121)/I121)</f>
        <v>0.776842105263158</v>
      </c>
      <c r="K121" s="9" t="n">
        <f aca="false">IF(J121=0,0,(J121-MIN(J$5:J$654))/(MAX(J$5:J$654)-MIN(J$5:J$654)))</f>
        <v>0.308270676691729</v>
      </c>
      <c r="L121" s="10" t="str">
        <f aca="false">IF(K121=0,"Very Low",IF(K121&gt;=0.6,"Very High",IF(K121&gt;=0.4,"High",IF(K121&gt;=0.2,"Moderate",IF(K121&gt;=0.1,"Low","Very Low")))))</f>
        <v>Moderate</v>
      </c>
    </row>
    <row r="122" customFormat="false" ht="15" hidden="false" customHeight="false" outlineLevel="0" collapsed="false">
      <c r="A122" s="4" t="n">
        <v>118</v>
      </c>
      <c r="B122" s="4" t="n">
        <v>100</v>
      </c>
      <c r="C122" s="5" t="s">
        <v>164</v>
      </c>
      <c r="D122" s="4" t="s">
        <v>40</v>
      </c>
      <c r="E122" s="4" t="s">
        <v>20</v>
      </c>
      <c r="F122" s="6" t="s">
        <v>27</v>
      </c>
      <c r="G122" s="7" t="n">
        <v>0.4</v>
      </c>
      <c r="H122" s="7" t="n">
        <v>0.88</v>
      </c>
      <c r="I122" s="7" t="n">
        <v>0.34</v>
      </c>
      <c r="J122" s="8" t="n">
        <f aca="false">IF(I122=0,0,(G122*H122)/I122)</f>
        <v>1.03529411764706</v>
      </c>
      <c r="K122" s="9" t="n">
        <f aca="false">IF(J122=0,0,(J122-MIN(J$5:J$654))/(MAX(J$5:J$654)-MIN(J$5:J$654)))</f>
        <v>0.410830999066293</v>
      </c>
      <c r="L122" s="10" t="str">
        <f aca="false">IF(K122=0,"Very Low",IF(K122&gt;=0.6,"Very High",IF(K122&gt;=0.4,"High",IF(K122&gt;=0.2,"Moderate",IF(K122&gt;=0.1,"Low","Very Low")))))</f>
        <v>High</v>
      </c>
    </row>
    <row r="123" customFormat="false" ht="15" hidden="false" customHeight="false" outlineLevel="0" collapsed="false">
      <c r="A123" s="4" t="n">
        <v>119</v>
      </c>
      <c r="B123" s="4" t="n">
        <v>101</v>
      </c>
      <c r="C123" s="5" t="s">
        <v>165</v>
      </c>
      <c r="D123" s="4" t="s">
        <v>36</v>
      </c>
      <c r="E123" s="4" t="s">
        <v>24</v>
      </c>
      <c r="F123" s="6" t="s">
        <v>25</v>
      </c>
      <c r="G123" s="7" t="n">
        <v>0.74</v>
      </c>
      <c r="H123" s="7" t="n">
        <v>0.61</v>
      </c>
      <c r="I123" s="7" t="n">
        <v>0.43</v>
      </c>
      <c r="J123" s="8" t="n">
        <f aca="false">IF(I123=0,0,(G123*H123)/I123)</f>
        <v>1.04976744186047</v>
      </c>
      <c r="K123" s="9" t="n">
        <f aca="false">IF(J123=0,0,(J123-MIN(J$5:J$654))/(MAX(J$5:J$654)-MIN(J$5:J$654)))</f>
        <v>0.416574381690661</v>
      </c>
      <c r="L123" s="10" t="str">
        <f aca="false">IF(K123=0,"Very Low",IF(K123&gt;=0.6,"Very High",IF(K123&gt;=0.4,"High",IF(K123&gt;=0.2,"Moderate",IF(K123&gt;=0.1,"Low","Very Low")))))</f>
        <v>High</v>
      </c>
    </row>
    <row r="124" customFormat="false" ht="15" hidden="false" customHeight="false" outlineLevel="0" collapsed="false">
      <c r="A124" s="4" t="n">
        <v>120</v>
      </c>
      <c r="B124" s="4" t="n">
        <v>101</v>
      </c>
      <c r="C124" s="5" t="s">
        <v>166</v>
      </c>
      <c r="D124" s="4" t="s">
        <v>15</v>
      </c>
      <c r="E124" s="4" t="s">
        <v>16</v>
      </c>
      <c r="F124" s="6" t="s">
        <v>17</v>
      </c>
      <c r="G124" s="7" t="n">
        <v>0.59</v>
      </c>
      <c r="H124" s="7" t="n">
        <v>0.89</v>
      </c>
      <c r="I124" s="7" t="n">
        <v>0.44</v>
      </c>
      <c r="J124" s="8" t="n">
        <f aca="false">IF(I124=0,0,(G124*H124)/I124)</f>
        <v>1.19340909090909</v>
      </c>
      <c r="K124" s="9" t="n">
        <f aca="false">IF(J124=0,0,(J124-MIN(J$5:J$654))/(MAX(J$5:J$654)-MIN(J$5:J$654)))</f>
        <v>0.473575036075036</v>
      </c>
      <c r="L124" s="10" t="str">
        <f aca="false">IF(K124=0,"Very Low",IF(K124&gt;=0.6,"Very High",IF(K124&gt;=0.4,"High",IF(K124&gt;=0.2,"Moderate",IF(K124&gt;=0.1,"Low","Very Low")))))</f>
        <v>High</v>
      </c>
    </row>
    <row r="125" customFormat="false" ht="15" hidden="false" customHeight="false" outlineLevel="0" collapsed="false">
      <c r="A125" s="4" t="n">
        <v>121</v>
      </c>
      <c r="B125" s="4" t="n">
        <v>102</v>
      </c>
      <c r="C125" s="5" t="s">
        <v>167</v>
      </c>
      <c r="D125" s="4" t="s">
        <v>83</v>
      </c>
      <c r="E125" s="4" t="s">
        <v>24</v>
      </c>
      <c r="F125" s="6" t="s">
        <v>17</v>
      </c>
      <c r="G125" s="7" t="n">
        <v>0.7</v>
      </c>
      <c r="H125" s="7" t="n">
        <v>0.86</v>
      </c>
      <c r="I125" s="7" t="n">
        <v>0.49</v>
      </c>
      <c r="J125" s="8" t="n">
        <f aca="false">IF(I125=0,0,(G125*H125)/I125)</f>
        <v>1.22857142857143</v>
      </c>
      <c r="K125" s="9" t="n">
        <f aca="false">IF(J125=0,0,(J125-MIN(J$5:J$654))/(MAX(J$5:J$654)-MIN(J$5:J$654)))</f>
        <v>0.487528344671202</v>
      </c>
      <c r="L125" s="10" t="str">
        <f aca="false">IF(K125=0,"Very Low",IF(K125&gt;=0.6,"Very High",IF(K125&gt;=0.4,"High",IF(K125&gt;=0.2,"Moderate",IF(K125&gt;=0.1,"Low","Very Low")))))</f>
        <v>High</v>
      </c>
    </row>
    <row r="126" customFormat="false" ht="15" hidden="false" customHeight="false" outlineLevel="0" collapsed="false">
      <c r="A126" s="4" t="n">
        <v>122</v>
      </c>
      <c r="B126" s="4" t="n">
        <v>102</v>
      </c>
      <c r="C126" s="5" t="s">
        <v>168</v>
      </c>
      <c r="D126" s="4" t="s">
        <v>83</v>
      </c>
      <c r="E126" s="4" t="s">
        <v>24</v>
      </c>
      <c r="F126" s="6" t="s">
        <v>25</v>
      </c>
      <c r="G126" s="7" t="n">
        <v>0.74</v>
      </c>
      <c r="H126" s="7" t="n">
        <v>0.71</v>
      </c>
      <c r="I126" s="7" t="n">
        <v>0.5</v>
      </c>
      <c r="J126" s="8" t="n">
        <f aca="false">IF(I126=0,0,(G126*H126)/I126)</f>
        <v>1.0508</v>
      </c>
      <c r="K126" s="9" t="n">
        <f aca="false">IF(J126=0,0,(J126-MIN(J$5:J$654))/(MAX(J$5:J$654)-MIN(J$5:J$654)))</f>
        <v>0.416984126984127</v>
      </c>
      <c r="L126" s="10" t="str">
        <f aca="false">IF(K126=0,"Very Low",IF(K126&gt;=0.6,"Very High",IF(K126&gt;=0.4,"High",IF(K126&gt;=0.2,"Moderate",IF(K126&gt;=0.1,"Low","Very Low")))))</f>
        <v>High</v>
      </c>
    </row>
    <row r="127" customFormat="false" ht="15" hidden="false" customHeight="false" outlineLevel="0" collapsed="false">
      <c r="A127" s="4" t="n">
        <v>123</v>
      </c>
      <c r="B127" s="4" t="n">
        <v>103</v>
      </c>
      <c r="C127" s="5" t="s">
        <v>169</v>
      </c>
      <c r="D127" s="4" t="s">
        <v>44</v>
      </c>
      <c r="E127" s="4" t="s">
        <v>30</v>
      </c>
      <c r="F127" s="6" t="s">
        <v>31</v>
      </c>
      <c r="G127" s="7" t="n">
        <v>0.82</v>
      </c>
      <c r="H127" s="7" t="n">
        <v>0.4</v>
      </c>
      <c r="I127" s="7" t="n">
        <v>0.43</v>
      </c>
      <c r="J127" s="8" t="n">
        <f aca="false">IF(I127=0,0,(G127*H127)/I127)</f>
        <v>0.762790697674419</v>
      </c>
      <c r="K127" s="9" t="n">
        <f aca="false">IF(J127=0,0,(J127-MIN(J$5:J$654))/(MAX(J$5:J$654)-MIN(J$5:J$654)))</f>
        <v>0.302694721299372</v>
      </c>
      <c r="L127" s="10" t="str">
        <f aca="false">IF(K127=0,"Very Low",IF(K127&gt;=0.6,"Very High",IF(K127&gt;=0.4,"High",IF(K127&gt;=0.2,"Moderate",IF(K127&gt;=0.1,"Low","Very Low")))))</f>
        <v>Moderate</v>
      </c>
    </row>
    <row r="128" customFormat="false" ht="15" hidden="false" customHeight="false" outlineLevel="0" collapsed="false">
      <c r="A128" s="4" t="n">
        <v>124</v>
      </c>
      <c r="B128" s="4" t="n">
        <v>103</v>
      </c>
      <c r="C128" s="5" t="s">
        <v>170</v>
      </c>
      <c r="D128" s="4" t="s">
        <v>108</v>
      </c>
      <c r="E128" s="4" t="s">
        <v>30</v>
      </c>
      <c r="F128" s="6" t="s">
        <v>27</v>
      </c>
      <c r="G128" s="7" t="n">
        <v>0.625</v>
      </c>
      <c r="H128" s="7" t="n">
        <v>0.88</v>
      </c>
      <c r="I128" s="7" t="n">
        <v>0.54</v>
      </c>
      <c r="J128" s="8" t="n">
        <f aca="false">IF(I128=0,0,(G128*H128)/I128)</f>
        <v>1.01851851851852</v>
      </c>
      <c r="K128" s="9" t="n">
        <f aca="false">IF(J128=0,0,(J128-MIN(J$5:J$654))/(MAX(J$5:J$654)-MIN(J$5:J$654)))</f>
        <v>0.404174015285126</v>
      </c>
      <c r="L128" s="10" t="str">
        <f aca="false">IF(K128=0,"Very Low",IF(K128&gt;=0.6,"Very High",IF(K128&gt;=0.4,"High",IF(K128&gt;=0.2,"Moderate",IF(K128&gt;=0.1,"Low","Very Low")))))</f>
        <v>High</v>
      </c>
    </row>
    <row r="129" customFormat="false" ht="15" hidden="false" customHeight="false" outlineLevel="0" collapsed="false">
      <c r="A129" s="4" t="n">
        <v>125</v>
      </c>
      <c r="B129" s="4" t="n">
        <v>104</v>
      </c>
      <c r="C129" s="5" t="s">
        <v>171</v>
      </c>
      <c r="D129" s="4" t="s">
        <v>38</v>
      </c>
      <c r="E129" s="4" t="s">
        <v>16</v>
      </c>
      <c r="F129" s="6" t="s">
        <v>17</v>
      </c>
      <c r="G129" s="7" t="n">
        <v>0.59</v>
      </c>
      <c r="H129" s="7" t="n">
        <v>0.89</v>
      </c>
      <c r="I129" s="7" t="n">
        <v>0.46</v>
      </c>
      <c r="J129" s="8" t="n">
        <f aca="false">IF(I129=0,0,(G129*H129)/I129)</f>
        <v>1.14152173913043</v>
      </c>
      <c r="K129" s="9" t="n">
        <f aca="false">IF(J129=0,0,(J129-MIN(J$5:J$654))/(MAX(J$5:J$654)-MIN(J$5:J$654)))</f>
        <v>0.452984817115252</v>
      </c>
      <c r="L129" s="10" t="str">
        <f aca="false">IF(K129=0,"Very Low",IF(K129&gt;=0.6,"Very High",IF(K129&gt;=0.4,"High",IF(K129&gt;=0.2,"Moderate",IF(K129&gt;=0.1,"Low","Very Low")))))</f>
        <v>High</v>
      </c>
    </row>
    <row r="130" customFormat="false" ht="15" hidden="false" customHeight="false" outlineLevel="0" collapsed="false">
      <c r="A130" s="4" t="n">
        <v>126</v>
      </c>
      <c r="B130" s="4" t="n">
        <v>105</v>
      </c>
      <c r="C130" s="5" t="s">
        <v>172</v>
      </c>
      <c r="D130" s="4" t="s">
        <v>95</v>
      </c>
      <c r="E130" s="4" t="s">
        <v>20</v>
      </c>
      <c r="F130" s="6" t="s">
        <v>17</v>
      </c>
      <c r="G130" s="7" t="n">
        <v>0.7</v>
      </c>
      <c r="H130" s="7" t="n">
        <v>0.86</v>
      </c>
      <c r="I130" s="7" t="n">
        <v>0.52</v>
      </c>
      <c r="J130" s="8" t="n">
        <f aca="false">IF(I130=0,0,(G130*H130)/I130)</f>
        <v>1.15769230769231</v>
      </c>
      <c r="K130" s="9" t="n">
        <f aca="false">IF(J130=0,0,(J130-MIN(J$5:J$654))/(MAX(J$5:J$654)-MIN(J$5:J$654)))</f>
        <v>0.459401709401709</v>
      </c>
      <c r="L130" s="10" t="str">
        <f aca="false">IF(K130=0,"Very Low",IF(K130&gt;=0.6,"Very High",IF(K130&gt;=0.4,"High",IF(K130&gt;=0.2,"Moderate",IF(K130&gt;=0.1,"Low","Very Low")))))</f>
        <v>High</v>
      </c>
    </row>
    <row r="131" customFormat="false" ht="15" hidden="false" customHeight="false" outlineLevel="0" collapsed="false">
      <c r="A131" s="4" t="n">
        <v>127</v>
      </c>
      <c r="B131" s="4" t="n">
        <v>105</v>
      </c>
      <c r="C131" s="5" t="s">
        <v>173</v>
      </c>
      <c r="D131" s="4" t="s">
        <v>15</v>
      </c>
      <c r="E131" s="4" t="s">
        <v>16</v>
      </c>
      <c r="F131" s="6" t="s">
        <v>25</v>
      </c>
      <c r="G131" s="7" t="n">
        <v>0.45</v>
      </c>
      <c r="H131" s="7" t="n">
        <v>0.86</v>
      </c>
      <c r="I131" s="7" t="n">
        <v>0.38</v>
      </c>
      <c r="J131" s="8" t="n">
        <f aca="false">IF(I131=0,0,(G131*H131)/I131)</f>
        <v>1.01842105263158</v>
      </c>
      <c r="K131" s="9" t="n">
        <f aca="false">IF(J131=0,0,(J131-MIN(J$5:J$654))/(MAX(J$5:J$654)-MIN(J$5:J$654)))</f>
        <v>0.404135338345865</v>
      </c>
      <c r="L131" s="10" t="str">
        <f aca="false">IF(K131=0,"Very Low",IF(K131&gt;=0.6,"Very High",IF(K131&gt;=0.4,"High",IF(K131&gt;=0.2,"Moderate",IF(K131&gt;=0.1,"Low","Very Low")))))</f>
        <v>High</v>
      </c>
    </row>
    <row r="132" customFormat="false" ht="15" hidden="false" customHeight="false" outlineLevel="0" collapsed="false">
      <c r="A132" s="4" t="n">
        <v>128</v>
      </c>
      <c r="B132" s="4" t="n">
        <v>106</v>
      </c>
      <c r="C132" s="5" t="s">
        <v>174</v>
      </c>
      <c r="D132" s="4" t="s">
        <v>83</v>
      </c>
      <c r="E132" s="4" t="s">
        <v>24</v>
      </c>
      <c r="F132" s="6" t="s">
        <v>31</v>
      </c>
      <c r="G132" s="7" t="n">
        <v>0.82</v>
      </c>
      <c r="H132" s="7" t="n">
        <v>0.46</v>
      </c>
      <c r="I132" s="7" t="n">
        <v>0.51</v>
      </c>
      <c r="J132" s="8" t="n">
        <f aca="false">IF(I132=0,0,(G132*H132)/I132)</f>
        <v>0.739607843137255</v>
      </c>
      <c r="K132" s="9" t="n">
        <f aca="false">IF(J132=0,0,(J132-MIN(J$5:J$654))/(MAX(J$5:J$654)-MIN(J$5:J$654)))</f>
        <v>0.293495175848117</v>
      </c>
      <c r="L132" s="10" t="str">
        <f aca="false">IF(K132=0,"Very Low",IF(K132&gt;=0.6,"Very High",IF(K132&gt;=0.4,"High",IF(K132&gt;=0.2,"Moderate",IF(K132&gt;=0.1,"Low","Very Low")))))</f>
        <v>Moderate</v>
      </c>
    </row>
    <row r="133" customFormat="false" ht="15" hidden="false" customHeight="false" outlineLevel="0" collapsed="false">
      <c r="A133" s="4" t="n">
        <v>129</v>
      </c>
      <c r="B133" s="4" t="n">
        <v>107</v>
      </c>
      <c r="C133" s="5" t="s">
        <v>175</v>
      </c>
      <c r="D133" s="4" t="s">
        <v>59</v>
      </c>
      <c r="E133" s="4" t="s">
        <v>60</v>
      </c>
      <c r="F133" s="6" t="s">
        <v>31</v>
      </c>
      <c r="G133" s="7" t="n">
        <v>0.68</v>
      </c>
      <c r="H133" s="7" t="n">
        <v>0.51</v>
      </c>
      <c r="I133" s="7" t="n">
        <v>0.47</v>
      </c>
      <c r="J133" s="8" t="n">
        <f aca="false">IF(I133=0,0,(G133*H133)/I133)</f>
        <v>0.737872340425532</v>
      </c>
      <c r="K133" s="9" t="n">
        <f aca="false">IF(J133=0,0,(J133-MIN(J$5:J$654))/(MAX(J$5:J$654)-MIN(J$5:J$654)))</f>
        <v>0.292806484295846</v>
      </c>
      <c r="L133" s="10" t="str">
        <f aca="false">IF(K133=0,"Very Low",IF(K133&gt;=0.6,"Very High",IF(K133&gt;=0.4,"High",IF(K133&gt;=0.2,"Moderate",IF(K133&gt;=0.1,"Low","Very Low")))))</f>
        <v>Moderate</v>
      </c>
    </row>
    <row r="134" customFormat="false" ht="15" hidden="false" customHeight="false" outlineLevel="0" collapsed="false">
      <c r="A134" s="4" t="n">
        <v>130</v>
      </c>
      <c r="B134" s="4" t="n">
        <v>108</v>
      </c>
      <c r="C134" s="5" t="s">
        <v>176</v>
      </c>
      <c r="D134" s="4" t="s">
        <v>44</v>
      </c>
      <c r="E134" s="4" t="s">
        <v>30</v>
      </c>
      <c r="F134" s="6" t="s">
        <v>31</v>
      </c>
      <c r="G134" s="7" t="n">
        <v>0.76</v>
      </c>
      <c r="H134" s="7" t="n">
        <v>0.53</v>
      </c>
      <c r="I134" s="7" t="n">
        <v>0.55</v>
      </c>
      <c r="J134" s="8" t="n">
        <f aca="false">IF(I134=0,0,(G134*H134)/I134)</f>
        <v>0.732363636363636</v>
      </c>
      <c r="K134" s="9" t="n">
        <f aca="false">IF(J134=0,0,(J134-MIN(J$5:J$654))/(MAX(J$5:J$654)-MIN(J$5:J$654)))</f>
        <v>0.290620490620491</v>
      </c>
      <c r="L134" s="10" t="str">
        <f aca="false">IF(K134=0,"Very Low",IF(K134&gt;=0.6,"Very High",IF(K134&gt;=0.4,"High",IF(K134&gt;=0.2,"Moderate",IF(K134&gt;=0.1,"Low","Very Low")))))</f>
        <v>Moderate</v>
      </c>
    </row>
    <row r="135" customFormat="false" ht="15" hidden="false" customHeight="false" outlineLevel="0" collapsed="false">
      <c r="A135" s="4" t="n">
        <v>131</v>
      </c>
      <c r="B135" s="4" t="n">
        <v>109</v>
      </c>
      <c r="C135" s="5" t="s">
        <v>177</v>
      </c>
      <c r="D135" s="4" t="s">
        <v>44</v>
      </c>
      <c r="E135" s="4" t="s">
        <v>30</v>
      </c>
      <c r="F135" s="6" t="s">
        <v>31</v>
      </c>
      <c r="G135" s="7" t="n">
        <v>0.96</v>
      </c>
      <c r="H135" s="7" t="n">
        <v>0.33</v>
      </c>
      <c r="I135" s="7" t="n">
        <v>0.44</v>
      </c>
      <c r="J135" s="8" t="n">
        <f aca="false">IF(I135=0,0,(G135*H135)/I135)</f>
        <v>0.72</v>
      </c>
      <c r="K135" s="9" t="n">
        <f aca="false">IF(J135=0,0,(J135-MIN(J$5:J$654))/(MAX(J$5:J$654)-MIN(J$5:J$654)))</f>
        <v>0.285714285714286</v>
      </c>
      <c r="L135" s="10" t="str">
        <f aca="false">IF(K135=0,"Very Low",IF(K135&gt;=0.6,"Very High",IF(K135&gt;=0.4,"High",IF(K135&gt;=0.2,"Moderate",IF(K135&gt;=0.1,"Low","Very Low")))))</f>
        <v>Moderate</v>
      </c>
    </row>
    <row r="136" customFormat="false" ht="15" hidden="false" customHeight="false" outlineLevel="0" collapsed="false">
      <c r="A136" s="4" t="n">
        <v>132</v>
      </c>
      <c r="B136" s="4" t="n">
        <v>110</v>
      </c>
      <c r="C136" s="5" t="s">
        <v>178</v>
      </c>
      <c r="D136" s="4" t="s">
        <v>40</v>
      </c>
      <c r="E136" s="4" t="s">
        <v>20</v>
      </c>
      <c r="F136" s="6" t="s">
        <v>25</v>
      </c>
      <c r="G136" s="7" t="n">
        <v>1</v>
      </c>
      <c r="H136" s="7" t="n">
        <v>0.44</v>
      </c>
      <c r="I136" s="7" t="n">
        <v>0.45</v>
      </c>
      <c r="J136" s="8" t="n">
        <f aca="false">IF(I136=0,0,(G136*H136)/I136)</f>
        <v>0.977777777777778</v>
      </c>
      <c r="K136" s="9" t="n">
        <f aca="false">IF(J136=0,0,(J136-MIN(J$5:J$654))/(MAX(J$5:J$654)-MIN(J$5:J$654)))</f>
        <v>0.388007054673721</v>
      </c>
      <c r="L136" s="10" t="str">
        <f aca="false">IF(K136=0,"Very Low",IF(K136&gt;=0.6,"Very High",IF(K136&gt;=0.4,"High",IF(K136&gt;=0.2,"Moderate",IF(K136&gt;=0.1,"Low","Very Low")))))</f>
        <v>Moderate</v>
      </c>
    </row>
    <row r="137" customFormat="false" ht="15" hidden="false" customHeight="false" outlineLevel="0" collapsed="false">
      <c r="A137" s="4" t="n">
        <v>133</v>
      </c>
      <c r="B137" s="4" t="n">
        <v>110</v>
      </c>
      <c r="C137" s="5" t="s">
        <v>179</v>
      </c>
      <c r="D137" s="4" t="s">
        <v>33</v>
      </c>
      <c r="E137" s="4" t="s">
        <v>24</v>
      </c>
      <c r="F137" s="6" t="s">
        <v>27</v>
      </c>
      <c r="G137" s="7" t="n">
        <v>0.5</v>
      </c>
      <c r="H137" s="7" t="n">
        <v>0.94</v>
      </c>
      <c r="I137" s="7" t="n">
        <v>0.49</v>
      </c>
      <c r="J137" s="8" t="n">
        <f aca="false">IF(I137=0,0,(G137*H137)/I137)</f>
        <v>0.959183673469388</v>
      </c>
      <c r="K137" s="9" t="n">
        <f aca="false">IF(J137=0,0,(J137-MIN(J$5:J$654))/(MAX(J$5:J$654)-MIN(J$5:J$654)))</f>
        <v>0.380628441852932</v>
      </c>
      <c r="L137" s="10" t="str">
        <f aca="false">IF(K137=0,"Very Low",IF(K137&gt;=0.6,"Very High",IF(K137&gt;=0.4,"High",IF(K137&gt;=0.2,"Moderate",IF(K137&gt;=0.1,"Low","Very Low")))))</f>
        <v>Moderate</v>
      </c>
    </row>
    <row r="138" customFormat="false" ht="15" hidden="false" customHeight="false" outlineLevel="0" collapsed="false">
      <c r="A138" s="4" t="n">
        <v>134</v>
      </c>
      <c r="B138" s="4" t="n">
        <v>111</v>
      </c>
      <c r="C138" s="5" t="s">
        <v>180</v>
      </c>
      <c r="D138" s="4" t="s">
        <v>59</v>
      </c>
      <c r="E138" s="4" t="s">
        <v>60</v>
      </c>
      <c r="F138" s="6" t="s">
        <v>31</v>
      </c>
      <c r="G138" s="7" t="n">
        <v>0.41</v>
      </c>
      <c r="H138" s="7" t="n">
        <v>0.62</v>
      </c>
      <c r="I138" s="7" t="n">
        <v>0.36</v>
      </c>
      <c r="J138" s="8" t="n">
        <f aca="false">IF(I138=0,0,(G138*H138)/I138)</f>
        <v>0.706111111111111</v>
      </c>
      <c r="K138" s="9" t="n">
        <f aca="false">IF(J138=0,0,(J138-MIN(J$5:J$654))/(MAX(J$5:J$654)-MIN(J$5:J$654)))</f>
        <v>0.280202821869489</v>
      </c>
      <c r="L138" s="10" t="str">
        <f aca="false">IF(K138=0,"Very Low",IF(K138&gt;=0.6,"Very High",IF(K138&gt;=0.4,"High",IF(K138&gt;=0.2,"Moderate",IF(K138&gt;=0.1,"Low","Very Low")))))</f>
        <v>Moderate</v>
      </c>
    </row>
    <row r="139" customFormat="false" ht="15" hidden="false" customHeight="false" outlineLevel="0" collapsed="false">
      <c r="A139" s="4" t="n">
        <v>135</v>
      </c>
      <c r="B139" s="4" t="n">
        <v>112</v>
      </c>
      <c r="C139" s="5" t="s">
        <v>181</v>
      </c>
      <c r="D139" s="4" t="s">
        <v>59</v>
      </c>
      <c r="E139" s="4" t="s">
        <v>60</v>
      </c>
      <c r="F139" s="6" t="s">
        <v>25</v>
      </c>
      <c r="G139" s="7" t="n">
        <v>0.57</v>
      </c>
      <c r="H139" s="7" t="n">
        <v>0.81</v>
      </c>
      <c r="I139" s="7" t="n">
        <v>0.48</v>
      </c>
      <c r="J139" s="8" t="n">
        <f aca="false">IF(I139=0,0,(G139*H139)/I139)</f>
        <v>0.961875</v>
      </c>
      <c r="K139" s="9" t="n">
        <f aca="false">IF(J139=0,0,(J139-MIN(J$5:J$654))/(MAX(J$5:J$654)-MIN(J$5:J$654)))</f>
        <v>0.381696428571429</v>
      </c>
      <c r="L139" s="10" t="str">
        <f aca="false">IF(K139=0,"Very Low",IF(K139&gt;=0.6,"Very High",IF(K139&gt;=0.4,"High",IF(K139&gt;=0.2,"Moderate",IF(K139&gt;=0.1,"Low","Very Low")))))</f>
        <v>Moderate</v>
      </c>
    </row>
    <row r="140" customFormat="false" ht="15" hidden="false" customHeight="false" outlineLevel="0" collapsed="false">
      <c r="A140" s="4" t="n">
        <v>136</v>
      </c>
      <c r="B140" s="4" t="n">
        <v>113</v>
      </c>
      <c r="C140" s="5" t="s">
        <v>182</v>
      </c>
      <c r="D140" s="4" t="s">
        <v>162</v>
      </c>
      <c r="E140" s="4" t="s">
        <v>60</v>
      </c>
      <c r="F140" s="6" t="s">
        <v>17</v>
      </c>
      <c r="G140" s="7" t="n">
        <v>0.7</v>
      </c>
      <c r="H140" s="7" t="n">
        <v>0.8</v>
      </c>
      <c r="I140" s="7" t="n">
        <v>0.53</v>
      </c>
      <c r="J140" s="8" t="n">
        <f aca="false">IF(I140=0,0,(G140*H140)/I140)</f>
        <v>1.05660377358491</v>
      </c>
      <c r="K140" s="9" t="n">
        <f aca="false">IF(J140=0,0,(J140-MIN(J$5:J$654))/(MAX(J$5:J$654)-MIN(J$5:J$654)))</f>
        <v>0.419287211740042</v>
      </c>
      <c r="L140" s="10" t="str">
        <f aca="false">IF(K140=0,"Very Low",IF(K140&gt;=0.6,"Very High",IF(K140&gt;=0.4,"High",IF(K140&gt;=0.2,"Moderate",IF(K140&gt;=0.1,"Low","Very Low")))))</f>
        <v>High</v>
      </c>
    </row>
    <row r="141" customFormat="false" ht="15" hidden="false" customHeight="false" outlineLevel="0" collapsed="false">
      <c r="A141" s="4" t="n">
        <v>137</v>
      </c>
      <c r="B141" s="4" t="n">
        <v>114</v>
      </c>
      <c r="C141" s="5" t="s">
        <v>183</v>
      </c>
      <c r="D141" s="4" t="s">
        <v>59</v>
      </c>
      <c r="E141" s="4" t="s">
        <v>60</v>
      </c>
      <c r="F141" s="6" t="s">
        <v>17</v>
      </c>
      <c r="G141" s="7" t="n">
        <v>0.59</v>
      </c>
      <c r="H141" s="7" t="n">
        <v>0.85</v>
      </c>
      <c r="I141" s="7" t="n">
        <v>0.47</v>
      </c>
      <c r="J141" s="8" t="n">
        <f aca="false">IF(I141=0,0,(G141*H141)/I141)</f>
        <v>1.06702127659574</v>
      </c>
      <c r="K141" s="9" t="n">
        <f aca="false">IF(J141=0,0,(J141-MIN(J$5:J$654))/(MAX(J$5:J$654)-MIN(J$5:J$654)))</f>
        <v>0.423421141506248</v>
      </c>
      <c r="L141" s="10" t="str">
        <f aca="false">IF(K141=0,"Very Low",IF(K141&gt;=0.6,"Very High",IF(K141&gt;=0.4,"High",IF(K141&gt;=0.2,"Moderate",IF(K141&gt;=0.1,"Low","Very Low")))))</f>
        <v>High</v>
      </c>
    </row>
    <row r="142" customFormat="false" ht="15" hidden="false" customHeight="false" outlineLevel="0" collapsed="false">
      <c r="A142" s="4" t="n">
        <v>138</v>
      </c>
      <c r="B142" s="4" t="n">
        <v>114</v>
      </c>
      <c r="C142" s="5" t="s">
        <v>184</v>
      </c>
      <c r="D142" s="4" t="s">
        <v>95</v>
      </c>
      <c r="E142" s="4" t="s">
        <v>20</v>
      </c>
      <c r="F142" s="6" t="s">
        <v>17</v>
      </c>
      <c r="G142" s="7" t="n">
        <v>0.59</v>
      </c>
      <c r="H142" s="7" t="n">
        <v>0.93</v>
      </c>
      <c r="I142" s="7" t="n">
        <v>0.48</v>
      </c>
      <c r="J142" s="8" t="n">
        <f aca="false">IF(I142=0,0,(G142*H142)/I142)</f>
        <v>1.143125</v>
      </c>
      <c r="K142" s="9" t="n">
        <f aca="false">IF(J142=0,0,(J142-MIN(J$5:J$654))/(MAX(J$5:J$654)-MIN(J$5:J$654)))</f>
        <v>0.453621031746032</v>
      </c>
      <c r="L142" s="10" t="str">
        <f aca="false">IF(K142=0,"Very Low",IF(K142&gt;=0.6,"Very High",IF(K142&gt;=0.4,"High",IF(K142&gt;=0.2,"Moderate",IF(K142&gt;=0.1,"Low","Very Low")))))</f>
        <v>High</v>
      </c>
    </row>
    <row r="143" customFormat="false" ht="15" hidden="false" customHeight="false" outlineLevel="0" collapsed="false">
      <c r="A143" s="4" t="n">
        <v>139</v>
      </c>
      <c r="B143" s="4" t="n">
        <v>114</v>
      </c>
      <c r="C143" s="5" t="s">
        <v>185</v>
      </c>
      <c r="D143" s="4" t="s">
        <v>95</v>
      </c>
      <c r="E143" s="4" t="s">
        <v>20</v>
      </c>
      <c r="F143" s="6" t="s">
        <v>17</v>
      </c>
      <c r="G143" s="7" t="n">
        <v>0.59</v>
      </c>
      <c r="H143" s="7" t="n">
        <v>0.93</v>
      </c>
      <c r="I143" s="7" t="n">
        <v>0.48</v>
      </c>
      <c r="J143" s="8" t="n">
        <f aca="false">IF(I143=0,0,(G143*H143)/I143)</f>
        <v>1.143125</v>
      </c>
      <c r="K143" s="9" t="n">
        <f aca="false">IF(J143=0,0,(J143-MIN(J$5:J$654))/(MAX(J$5:J$654)-MIN(J$5:J$654)))</f>
        <v>0.453621031746032</v>
      </c>
      <c r="L143" s="10" t="str">
        <f aca="false">IF(K143=0,"Very Low",IF(K143&gt;=0.6,"Very High",IF(K143&gt;=0.4,"High",IF(K143&gt;=0.2,"Moderate",IF(K143&gt;=0.1,"Low","Very Low")))))</f>
        <v>High</v>
      </c>
    </row>
    <row r="144" customFormat="false" ht="15" hidden="false" customHeight="false" outlineLevel="0" collapsed="false">
      <c r="A144" s="4" t="n">
        <v>140</v>
      </c>
      <c r="B144" s="4" t="n">
        <v>114</v>
      </c>
      <c r="C144" s="5" t="s">
        <v>186</v>
      </c>
      <c r="D144" s="4" t="s">
        <v>83</v>
      </c>
      <c r="E144" s="4" t="s">
        <v>24</v>
      </c>
      <c r="F144" s="6" t="s">
        <v>25</v>
      </c>
      <c r="G144" s="7" t="n">
        <v>0.57</v>
      </c>
      <c r="H144" s="7" t="n">
        <v>0.71</v>
      </c>
      <c r="I144" s="7" t="n">
        <v>0.43</v>
      </c>
      <c r="J144" s="8" t="n">
        <f aca="false">IF(I144=0,0,(G144*H144)/I144)</f>
        <v>0.941162790697674</v>
      </c>
      <c r="K144" s="9" t="n">
        <f aca="false">IF(J144=0,0,(J144-MIN(J$5:J$654))/(MAX(J$5:J$654)-MIN(J$5:J$654)))</f>
        <v>0.373477297895903</v>
      </c>
      <c r="L144" s="10" t="str">
        <f aca="false">IF(K144=0,"Very Low",IF(K144&gt;=0.6,"Very High",IF(K144&gt;=0.4,"High",IF(K144&gt;=0.2,"Moderate",IF(K144&gt;=0.1,"Low","Very Low")))))</f>
        <v>Moderate</v>
      </c>
    </row>
    <row r="145" customFormat="false" ht="15" hidden="false" customHeight="false" outlineLevel="0" collapsed="false">
      <c r="A145" s="4" t="n">
        <v>141</v>
      </c>
      <c r="B145" s="4" t="n">
        <v>115</v>
      </c>
      <c r="C145" s="5" t="s">
        <v>187</v>
      </c>
      <c r="D145" s="4" t="s">
        <v>29</v>
      </c>
      <c r="E145" s="4" t="s">
        <v>30</v>
      </c>
      <c r="F145" s="6" t="s">
        <v>31</v>
      </c>
      <c r="G145" s="7" t="n">
        <v>0.82</v>
      </c>
      <c r="H145" s="7" t="n">
        <v>0.42</v>
      </c>
      <c r="I145" s="7" t="n">
        <v>0.5</v>
      </c>
      <c r="J145" s="8" t="n">
        <f aca="false">IF(I145=0,0,(G145*H145)/I145)</f>
        <v>0.6888</v>
      </c>
      <c r="K145" s="9" t="n">
        <f aca="false">IF(J145=0,0,(J145-MIN(J$5:J$654))/(MAX(J$5:J$654)-MIN(J$5:J$654)))</f>
        <v>0.273333333333333</v>
      </c>
      <c r="L145" s="10" t="str">
        <f aca="false">IF(K145=0,"Very Low",IF(K145&gt;=0.6,"Very High",IF(K145&gt;=0.4,"High",IF(K145&gt;=0.2,"Moderate",IF(K145&gt;=0.1,"Low","Very Low")))))</f>
        <v>Moderate</v>
      </c>
    </row>
    <row r="146" customFormat="false" ht="15" hidden="false" customHeight="false" outlineLevel="0" collapsed="false">
      <c r="A146" s="4" t="n">
        <v>142</v>
      </c>
      <c r="B146" s="4" t="n">
        <v>116</v>
      </c>
      <c r="C146" s="5" t="s">
        <v>188</v>
      </c>
      <c r="D146" s="4" t="s">
        <v>162</v>
      </c>
      <c r="E146" s="4" t="s">
        <v>60</v>
      </c>
      <c r="F146" s="6" t="s">
        <v>17</v>
      </c>
      <c r="G146" s="7" t="n">
        <v>0.7</v>
      </c>
      <c r="H146" s="7" t="n">
        <v>0.95</v>
      </c>
      <c r="I146" s="7" t="n">
        <v>0.56</v>
      </c>
      <c r="J146" s="8" t="n">
        <f aca="false">IF(I146=0,0,(G146*H146)/I146)</f>
        <v>1.1875</v>
      </c>
      <c r="K146" s="9" t="n">
        <f aca="false">IF(J146=0,0,(J146-MIN(J$5:J$654))/(MAX(J$5:J$654)-MIN(J$5:J$654)))</f>
        <v>0.471230158730159</v>
      </c>
      <c r="L146" s="10" t="str">
        <f aca="false">IF(K146=0,"Very Low",IF(K146&gt;=0.6,"Very High",IF(K146&gt;=0.4,"High",IF(K146&gt;=0.2,"Moderate",IF(K146&gt;=0.1,"Low","Very Low")))))</f>
        <v>High</v>
      </c>
    </row>
    <row r="147" customFormat="false" ht="15" hidden="false" customHeight="false" outlineLevel="0" collapsed="false">
      <c r="A147" s="4" t="n">
        <v>143</v>
      </c>
      <c r="B147" s="4" t="n">
        <v>117</v>
      </c>
      <c r="C147" s="5" t="s">
        <v>189</v>
      </c>
      <c r="D147" s="4" t="s">
        <v>29</v>
      </c>
      <c r="E147" s="4" t="s">
        <v>30</v>
      </c>
      <c r="F147" s="6" t="s">
        <v>25</v>
      </c>
      <c r="G147" s="7" t="n">
        <v>0.74</v>
      </c>
      <c r="H147" s="7" t="n">
        <v>0.79</v>
      </c>
      <c r="I147" s="7" t="n">
        <v>0.63</v>
      </c>
      <c r="J147" s="8" t="n">
        <f aca="false">IF(I147=0,0,(G147*H147)/I147)</f>
        <v>0.927936507936508</v>
      </c>
      <c r="K147" s="9" t="n">
        <f aca="false">IF(J147=0,0,(J147-MIN(J$5:J$654))/(MAX(J$5:J$654)-MIN(J$5:J$654)))</f>
        <v>0.368228772990678</v>
      </c>
      <c r="L147" s="10" t="str">
        <f aca="false">IF(K147=0,"Very Low",IF(K147&gt;=0.6,"Very High",IF(K147&gt;=0.4,"High",IF(K147&gt;=0.2,"Moderate",IF(K147&gt;=0.1,"Low","Very Low")))))</f>
        <v>Moderate</v>
      </c>
    </row>
    <row r="148" customFormat="false" ht="15" hidden="false" customHeight="false" outlineLevel="0" collapsed="false">
      <c r="A148" s="4" t="n">
        <v>144</v>
      </c>
      <c r="B148" s="4" t="n">
        <v>118</v>
      </c>
      <c r="C148" s="5" t="s">
        <v>190</v>
      </c>
      <c r="D148" s="4" t="s">
        <v>19</v>
      </c>
      <c r="E148" s="4" t="s">
        <v>20</v>
      </c>
      <c r="F148" s="6" t="s">
        <v>21</v>
      </c>
      <c r="G148" s="7" t="n">
        <v>0.44</v>
      </c>
      <c r="H148" s="7" t="n">
        <v>0.5</v>
      </c>
      <c r="I148" s="7" t="n">
        <v>0.36</v>
      </c>
      <c r="J148" s="8" t="n">
        <f aca="false">IF(I148=0,0,(G148*H148)/I148)</f>
        <v>0.611111111111111</v>
      </c>
      <c r="K148" s="9" t="n">
        <f aca="false">IF(J148=0,0,(J148-MIN(J$5:J$654))/(MAX(J$5:J$654)-MIN(J$5:J$654)))</f>
        <v>0.242504409171076</v>
      </c>
      <c r="L148" s="10" t="str">
        <f aca="false">IF(K148=0,"Very Low",IF(K148&gt;=0.6,"Very High",IF(K148&gt;=0.4,"High",IF(K148&gt;=0.2,"Moderate",IF(K148&gt;=0.1,"Low","Very Low")))))</f>
        <v>Moderate</v>
      </c>
    </row>
    <row r="149" customFormat="false" ht="15" hidden="false" customHeight="false" outlineLevel="0" collapsed="false">
      <c r="A149" s="4" t="n">
        <v>145</v>
      </c>
      <c r="B149" s="4" t="n">
        <v>118</v>
      </c>
      <c r="C149" s="5" t="s">
        <v>191</v>
      </c>
      <c r="D149" s="4" t="s">
        <v>40</v>
      </c>
      <c r="E149" s="4" t="s">
        <v>20</v>
      </c>
      <c r="F149" s="6" t="s">
        <v>25</v>
      </c>
      <c r="G149" s="7" t="n">
        <v>0.45</v>
      </c>
      <c r="H149" s="7" t="n">
        <v>0.72</v>
      </c>
      <c r="I149" s="7" t="n">
        <v>0.35</v>
      </c>
      <c r="J149" s="8" t="n">
        <f aca="false">IF(I149=0,0,(G149*H149)/I149)</f>
        <v>0.925714285714286</v>
      </c>
      <c r="K149" s="9" t="n">
        <f aca="false">IF(J149=0,0,(J149-MIN(J$5:J$654))/(MAX(J$5:J$654)-MIN(J$5:J$654)))</f>
        <v>0.36734693877551</v>
      </c>
      <c r="L149" s="10" t="str">
        <f aca="false">IF(K149=0,"Very Low",IF(K149&gt;=0.6,"Very High",IF(K149&gt;=0.4,"High",IF(K149&gt;=0.2,"Moderate",IF(K149&gt;=0.1,"Low","Very Low")))))</f>
        <v>Moderate</v>
      </c>
    </row>
    <row r="150" customFormat="false" ht="15" hidden="false" customHeight="false" outlineLevel="0" collapsed="false">
      <c r="A150" s="4" t="n">
        <v>146</v>
      </c>
      <c r="B150" s="4" t="n">
        <v>119</v>
      </c>
      <c r="C150" s="5" t="s">
        <v>192</v>
      </c>
      <c r="D150" s="4" t="s">
        <v>40</v>
      </c>
      <c r="E150" s="4" t="s">
        <v>20</v>
      </c>
      <c r="F150" s="6" t="s">
        <v>25</v>
      </c>
      <c r="G150" s="7" t="n">
        <v>0.45</v>
      </c>
      <c r="H150" s="7" t="n">
        <v>0.69</v>
      </c>
      <c r="I150" s="7" t="n">
        <v>0.34</v>
      </c>
      <c r="J150" s="8" t="n">
        <f aca="false">IF(I150=0,0,(G150*H150)/I150)</f>
        <v>0.913235294117647</v>
      </c>
      <c r="K150" s="9" t="n">
        <f aca="false">IF(J150=0,0,(J150-MIN(J$5:J$654))/(MAX(J$5:J$654)-MIN(J$5:J$654)))</f>
        <v>0.362394957983193</v>
      </c>
      <c r="L150" s="10" t="str">
        <f aca="false">IF(K150=0,"Very Low",IF(K150&gt;=0.6,"Very High",IF(K150&gt;=0.4,"High",IF(K150&gt;=0.2,"Moderate",IF(K150&gt;=0.1,"Low","Very Low")))))</f>
        <v>Moderate</v>
      </c>
    </row>
    <row r="151" customFormat="false" ht="15" hidden="false" customHeight="false" outlineLevel="0" collapsed="false">
      <c r="A151" s="4" t="n">
        <v>147</v>
      </c>
      <c r="B151" s="4" t="n">
        <v>120</v>
      </c>
      <c r="C151" s="5" t="s">
        <v>193</v>
      </c>
      <c r="D151" s="4" t="s">
        <v>162</v>
      </c>
      <c r="E151" s="4" t="s">
        <v>60</v>
      </c>
      <c r="F151" s="6" t="s">
        <v>17</v>
      </c>
      <c r="G151" s="7" t="n">
        <v>0.59</v>
      </c>
      <c r="H151" s="7" t="n">
        <v>0.51</v>
      </c>
      <c r="I151" s="7" t="n">
        <v>0.52</v>
      </c>
      <c r="J151" s="8" t="n">
        <f aca="false">IF(I151=0,0,(G151*H151)/I151)</f>
        <v>0.578653846153846</v>
      </c>
      <c r="K151" s="9" t="n">
        <f aca="false">IF(J151=0,0,(J151-MIN(J$5:J$654))/(MAX(J$5:J$654)-MIN(J$5:J$654)))</f>
        <v>0.229624542124542</v>
      </c>
      <c r="L151" s="10" t="str">
        <f aca="false">IF(K151=0,"Very Low",IF(K151&gt;=0.6,"Very High",IF(K151&gt;=0.4,"High",IF(K151&gt;=0.2,"Moderate",IF(K151&gt;=0.1,"Low","Very Low")))))</f>
        <v>Moderate</v>
      </c>
    </row>
    <row r="152" customFormat="false" ht="15" hidden="false" customHeight="false" outlineLevel="0" collapsed="false">
      <c r="A152" s="4" t="n">
        <v>148</v>
      </c>
      <c r="B152" s="4" t="n">
        <v>121</v>
      </c>
      <c r="C152" s="5" t="s">
        <v>194</v>
      </c>
      <c r="D152" s="4" t="s">
        <v>93</v>
      </c>
      <c r="E152" s="4" t="s">
        <v>24</v>
      </c>
      <c r="F152" s="6" t="s">
        <v>25</v>
      </c>
      <c r="G152" s="7" t="n">
        <v>0.74</v>
      </c>
      <c r="H152" s="7" t="n">
        <v>0.65</v>
      </c>
      <c r="I152" s="7" t="n">
        <v>0.53</v>
      </c>
      <c r="J152" s="8" t="n">
        <f aca="false">IF(I152=0,0,(G152*H152)/I152)</f>
        <v>0.907547169811321</v>
      </c>
      <c r="K152" s="9" t="n">
        <f aca="false">IF(J152=0,0,(J152-MIN(J$5:J$654))/(MAX(J$5:J$654)-MIN(J$5:J$654)))</f>
        <v>0.360137765798143</v>
      </c>
      <c r="L152" s="10" t="str">
        <f aca="false">IF(K152=0,"Very Low",IF(K152&gt;=0.6,"Very High",IF(K152&gt;=0.4,"High",IF(K152&gt;=0.2,"Moderate",IF(K152&gt;=0.1,"Low","Very Low")))))</f>
        <v>Moderate</v>
      </c>
    </row>
    <row r="153" customFormat="false" ht="15" hidden="false" customHeight="false" outlineLevel="0" collapsed="false">
      <c r="A153" s="4" t="n">
        <v>149</v>
      </c>
      <c r="B153" s="4" t="n">
        <v>122</v>
      </c>
      <c r="C153" s="5" t="s">
        <v>195</v>
      </c>
      <c r="D153" s="4" t="s">
        <v>59</v>
      </c>
      <c r="E153" s="4" t="s">
        <v>60</v>
      </c>
      <c r="F153" s="6" t="s">
        <v>31</v>
      </c>
      <c r="G153" s="7" t="n">
        <v>0.68</v>
      </c>
      <c r="H153" s="7" t="n">
        <v>0.45</v>
      </c>
      <c r="I153" s="7" t="n">
        <v>0.46</v>
      </c>
      <c r="J153" s="8" t="n">
        <f aca="false">IF(I153=0,0,(G153*H153)/I153)</f>
        <v>0.665217391304348</v>
      </c>
      <c r="K153" s="9" t="n">
        <f aca="false">IF(J153=0,0,(J153-MIN(J$5:J$654))/(MAX(J$5:J$654)-MIN(J$5:J$654)))</f>
        <v>0.263975155279503</v>
      </c>
      <c r="L153" s="10" t="str">
        <f aca="false">IF(K153=0,"Very Low",IF(K153&gt;=0.6,"Very High",IF(K153&gt;=0.4,"High",IF(K153&gt;=0.2,"Moderate",IF(K153&gt;=0.1,"Low","Very Low")))))</f>
        <v>Moderate</v>
      </c>
    </row>
    <row r="154" customFormat="false" ht="15" hidden="false" customHeight="false" outlineLevel="0" collapsed="false">
      <c r="A154" s="4" t="n">
        <v>150</v>
      </c>
      <c r="B154" s="4" t="n">
        <v>123</v>
      </c>
      <c r="C154" s="5" t="s">
        <v>196</v>
      </c>
      <c r="D154" s="4" t="s">
        <v>108</v>
      </c>
      <c r="E154" s="4" t="s">
        <v>30</v>
      </c>
      <c r="F154" s="6" t="s">
        <v>31</v>
      </c>
      <c r="G154" s="7" t="n">
        <v>0.41</v>
      </c>
      <c r="H154" s="7" t="n">
        <v>0.58</v>
      </c>
      <c r="I154" s="7" t="n">
        <v>0.36</v>
      </c>
      <c r="J154" s="8" t="n">
        <f aca="false">IF(I154=0,0,(G154*H154)/I154)</f>
        <v>0.660555555555556</v>
      </c>
      <c r="K154" s="9" t="n">
        <f aca="false">IF(J154=0,0,(J154-MIN(J$5:J$654))/(MAX(J$5:J$654)-MIN(J$5:J$654)))</f>
        <v>0.262125220458554</v>
      </c>
      <c r="L154" s="10" t="str">
        <f aca="false">IF(K154=0,"Very Low",IF(K154&gt;=0.6,"Very High",IF(K154&gt;=0.4,"High",IF(K154&gt;=0.2,"Moderate",IF(K154&gt;=0.1,"Low","Very Low")))))</f>
        <v>Moderate</v>
      </c>
    </row>
    <row r="155" customFormat="false" ht="15" hidden="false" customHeight="false" outlineLevel="0" collapsed="false">
      <c r="A155" s="4" t="n">
        <v>151</v>
      </c>
      <c r="B155" s="4" t="n">
        <v>124</v>
      </c>
      <c r="C155" s="5" t="s">
        <v>197</v>
      </c>
      <c r="D155" s="4" t="s">
        <v>79</v>
      </c>
      <c r="E155" s="4" t="s">
        <v>60</v>
      </c>
      <c r="F155" s="6" t="s">
        <v>25</v>
      </c>
      <c r="G155" s="7" t="n">
        <v>0.72</v>
      </c>
      <c r="H155" s="7" t="n">
        <v>0.7</v>
      </c>
      <c r="I155" s="7" t="n">
        <v>0.56</v>
      </c>
      <c r="J155" s="8" t="n">
        <f aca="false">IF(I155=0,0,(G155*H155)/I155)</f>
        <v>0.9</v>
      </c>
      <c r="K155" s="9" t="n">
        <f aca="false">IF(J155=0,0,(J155-MIN(J$5:J$654))/(MAX(J$5:J$654)-MIN(J$5:J$654)))</f>
        <v>0.357142857142857</v>
      </c>
      <c r="L155" s="10" t="str">
        <f aca="false">IF(K155=0,"Very Low",IF(K155&gt;=0.6,"Very High",IF(K155&gt;=0.4,"High",IF(K155&gt;=0.2,"Moderate",IF(K155&gt;=0.1,"Low","Very Low")))))</f>
        <v>Moderate</v>
      </c>
    </row>
    <row r="156" customFormat="false" ht="15" hidden="false" customHeight="false" outlineLevel="0" collapsed="false">
      <c r="A156" s="4" t="n">
        <v>152</v>
      </c>
      <c r="B156" s="4" t="n">
        <v>125</v>
      </c>
      <c r="C156" s="5" t="s">
        <v>198</v>
      </c>
      <c r="D156" s="4" t="s">
        <v>199</v>
      </c>
      <c r="E156" s="4" t="s">
        <v>16</v>
      </c>
      <c r="F156" s="6" t="s">
        <v>17</v>
      </c>
      <c r="G156" s="7" t="n">
        <v>0.47</v>
      </c>
      <c r="H156" s="7" t="n">
        <v>0.93</v>
      </c>
      <c r="I156" s="7" t="n">
        <v>0.4</v>
      </c>
      <c r="J156" s="8" t="n">
        <f aca="false">IF(I156=0,0,(G156*H156)/I156)</f>
        <v>1.09275</v>
      </c>
      <c r="K156" s="9" t="n">
        <f aca="false">IF(J156=0,0,(J156-MIN(J$5:J$654))/(MAX(J$5:J$654)-MIN(J$5:J$654)))</f>
        <v>0.433630952380952</v>
      </c>
      <c r="L156" s="10" t="str">
        <f aca="false">IF(K156=0,"Very Low",IF(K156&gt;=0.6,"Very High",IF(K156&gt;=0.4,"High",IF(K156&gt;=0.2,"Moderate",IF(K156&gt;=0.1,"Low","Very Low")))))</f>
        <v>High</v>
      </c>
    </row>
    <row r="157" customFormat="false" ht="15" hidden="false" customHeight="false" outlineLevel="0" collapsed="false">
      <c r="A157" s="4" t="n">
        <v>153</v>
      </c>
      <c r="B157" s="4" t="n">
        <v>125</v>
      </c>
      <c r="C157" s="5" t="s">
        <v>200</v>
      </c>
      <c r="D157" s="4" t="s">
        <v>201</v>
      </c>
      <c r="E157" s="4" t="s">
        <v>60</v>
      </c>
      <c r="F157" s="6" t="s">
        <v>25</v>
      </c>
      <c r="G157" s="7" t="n">
        <v>0.63</v>
      </c>
      <c r="H157" s="7" t="n">
        <v>0.57</v>
      </c>
      <c r="I157" s="7" t="n">
        <v>0.4</v>
      </c>
      <c r="J157" s="8" t="n">
        <f aca="false">IF(I157=0,0,(G157*H157)/I157)</f>
        <v>0.89775</v>
      </c>
      <c r="K157" s="9" t="n">
        <f aca="false">IF(J157=0,0,(J157-MIN(J$5:J$654))/(MAX(J$5:J$654)-MIN(J$5:J$654)))</f>
        <v>0.35625</v>
      </c>
      <c r="L157" s="10" t="str">
        <f aca="false">IF(K157=0,"Very Low",IF(K157&gt;=0.6,"Very High",IF(K157&gt;=0.4,"High",IF(K157&gt;=0.2,"Moderate",IF(K157&gt;=0.1,"Low","Very Low")))))</f>
        <v>Moderate</v>
      </c>
    </row>
    <row r="158" customFormat="false" ht="15" hidden="false" customHeight="false" outlineLevel="0" collapsed="false">
      <c r="A158" s="4" t="n">
        <v>154</v>
      </c>
      <c r="B158" s="4" t="n">
        <v>125</v>
      </c>
      <c r="C158" s="5" t="s">
        <v>202</v>
      </c>
      <c r="D158" s="4" t="s">
        <v>98</v>
      </c>
      <c r="E158" s="4" t="s">
        <v>16</v>
      </c>
      <c r="F158" s="6" t="s">
        <v>17</v>
      </c>
      <c r="G158" s="7" t="n">
        <v>0.47</v>
      </c>
      <c r="H158" s="7" t="n">
        <v>0.95</v>
      </c>
      <c r="I158" s="7" t="n">
        <v>0.31</v>
      </c>
      <c r="J158" s="8" t="n">
        <f aca="false">IF(I158=0,0,(G158*H158)/I158)</f>
        <v>1.44032258064516</v>
      </c>
      <c r="K158" s="9" t="n">
        <f aca="false">IF(J158=0,0,(J158-MIN(J$5:J$654))/(MAX(J$5:J$654)-MIN(J$5:J$654)))</f>
        <v>0.571556579621096</v>
      </c>
      <c r="L158" s="10" t="str">
        <f aca="false">IF(K158=0,"Very Low",IF(K158&gt;=0.6,"Very High",IF(K158&gt;=0.4,"High",IF(K158&gt;=0.2,"Moderate",IF(K158&gt;=0.1,"Low","Very Low")))))</f>
        <v>High</v>
      </c>
    </row>
    <row r="159" customFormat="false" ht="15" hidden="false" customHeight="false" outlineLevel="0" collapsed="false">
      <c r="A159" s="4" t="n">
        <v>155</v>
      </c>
      <c r="B159" s="4" t="n">
        <v>126</v>
      </c>
      <c r="C159" s="5" t="s">
        <v>203</v>
      </c>
      <c r="D159" s="4" t="s">
        <v>23</v>
      </c>
      <c r="E159" s="4" t="s">
        <v>24</v>
      </c>
      <c r="F159" s="6" t="s">
        <v>25</v>
      </c>
      <c r="G159" s="7" t="n">
        <v>0.63</v>
      </c>
      <c r="H159" s="7" t="n">
        <v>0.48</v>
      </c>
      <c r="I159" s="7" t="n">
        <v>0.34</v>
      </c>
      <c r="J159" s="8" t="n">
        <f aca="false">IF(I159=0,0,(G159*H159)/I159)</f>
        <v>0.889411764705882</v>
      </c>
      <c r="K159" s="9" t="n">
        <f aca="false">IF(J159=0,0,(J159-MIN(J$5:J$654))/(MAX(J$5:J$654)-MIN(J$5:J$654)))</f>
        <v>0.352941176470588</v>
      </c>
      <c r="L159" s="10" t="str">
        <f aca="false">IF(K159=0,"Very Low",IF(K159&gt;=0.6,"Very High",IF(K159&gt;=0.4,"High",IF(K159&gt;=0.2,"Moderate",IF(K159&gt;=0.1,"Low","Very Low")))))</f>
        <v>Moderate</v>
      </c>
    </row>
    <row r="160" customFormat="false" ht="15" hidden="false" customHeight="false" outlineLevel="0" collapsed="false">
      <c r="A160" s="4" t="n">
        <v>156</v>
      </c>
      <c r="B160" s="4" t="n">
        <v>127</v>
      </c>
      <c r="C160" s="5" t="s">
        <v>204</v>
      </c>
      <c r="D160" s="4" t="s">
        <v>59</v>
      </c>
      <c r="E160" s="4" t="s">
        <v>60</v>
      </c>
      <c r="F160" s="6" t="s">
        <v>31</v>
      </c>
      <c r="G160" s="7" t="n">
        <v>0.41</v>
      </c>
      <c r="H160" s="7" t="n">
        <v>0.55</v>
      </c>
      <c r="I160" s="7" t="n">
        <v>0.35</v>
      </c>
      <c r="J160" s="8" t="n">
        <f aca="false">IF(I160=0,0,(G160*H160)/I160)</f>
        <v>0.644285714285714</v>
      </c>
      <c r="K160" s="9" t="n">
        <f aca="false">IF(J160=0,0,(J160-MIN(J$5:J$654))/(MAX(J$5:J$654)-MIN(J$5:J$654)))</f>
        <v>0.255668934240363</v>
      </c>
      <c r="L160" s="10" t="str">
        <f aca="false">IF(K160=0,"Very Low",IF(K160&gt;=0.6,"Very High",IF(K160&gt;=0.4,"High",IF(K160&gt;=0.2,"Moderate",IF(K160&gt;=0.1,"Low","Very Low")))))</f>
        <v>Moderate</v>
      </c>
    </row>
    <row r="161" customFormat="false" ht="15" hidden="false" customHeight="false" outlineLevel="0" collapsed="false">
      <c r="A161" s="4" t="n">
        <v>157</v>
      </c>
      <c r="B161" s="4" t="n">
        <v>128</v>
      </c>
      <c r="C161" s="5" t="s">
        <v>205</v>
      </c>
      <c r="D161" s="4" t="s">
        <v>95</v>
      </c>
      <c r="E161" s="4" t="s">
        <v>20</v>
      </c>
      <c r="F161" s="6" t="s">
        <v>17</v>
      </c>
      <c r="G161" s="7" t="n">
        <v>0.47</v>
      </c>
      <c r="H161" s="7" t="n">
        <v>0.92</v>
      </c>
      <c r="I161" s="7" t="n">
        <v>0.45</v>
      </c>
      <c r="J161" s="8" t="n">
        <f aca="false">IF(I161=0,0,(G161*H161)/I161)</f>
        <v>0.960888888888889</v>
      </c>
      <c r="K161" s="9" t="n">
        <f aca="false">IF(J161=0,0,(J161-MIN(J$5:J$654))/(MAX(J$5:J$654)-MIN(J$5:J$654)))</f>
        <v>0.381305114638448</v>
      </c>
      <c r="L161" s="10" t="str">
        <f aca="false">IF(K161=0,"Very Low",IF(K161&gt;=0.6,"Very High",IF(K161&gt;=0.4,"High",IF(K161&gt;=0.2,"Moderate",IF(K161&gt;=0.1,"Low","Very Low")))))</f>
        <v>Moderate</v>
      </c>
    </row>
    <row r="162" customFormat="false" ht="15" hidden="false" customHeight="false" outlineLevel="0" collapsed="false">
      <c r="A162" s="4" t="n">
        <v>158</v>
      </c>
      <c r="B162" s="4" t="n">
        <v>128</v>
      </c>
      <c r="C162" s="5" t="s">
        <v>206</v>
      </c>
      <c r="D162" s="4" t="s">
        <v>15</v>
      </c>
      <c r="E162" s="4" t="s">
        <v>16</v>
      </c>
      <c r="F162" s="6" t="s">
        <v>25</v>
      </c>
      <c r="G162" s="7" t="n">
        <v>0.45</v>
      </c>
      <c r="H162" s="7" t="n">
        <v>0.85</v>
      </c>
      <c r="I162" s="7" t="n">
        <v>0.44</v>
      </c>
      <c r="J162" s="8" t="n">
        <f aca="false">IF(I162=0,0,(G162*H162)/I162)</f>
        <v>0.869318181818182</v>
      </c>
      <c r="K162" s="9" t="n">
        <f aca="false">IF(J162=0,0,(J162-MIN(J$5:J$654))/(MAX(J$5:J$654)-MIN(J$5:J$654)))</f>
        <v>0.344967532467533</v>
      </c>
      <c r="L162" s="10" t="str">
        <f aca="false">IF(K162=0,"Very Low",IF(K162&gt;=0.6,"Very High",IF(K162&gt;=0.4,"High",IF(K162&gt;=0.2,"Moderate",IF(K162&gt;=0.1,"Low","Very Low")))))</f>
        <v>Moderate</v>
      </c>
    </row>
    <row r="163" customFormat="false" ht="15" hidden="false" customHeight="false" outlineLevel="0" collapsed="false">
      <c r="A163" s="4" t="n">
        <v>159</v>
      </c>
      <c r="B163" s="4" t="n">
        <v>129</v>
      </c>
      <c r="C163" s="5" t="s">
        <v>207</v>
      </c>
      <c r="D163" s="4" t="s">
        <v>83</v>
      </c>
      <c r="E163" s="4" t="s">
        <v>24</v>
      </c>
      <c r="F163" s="6" t="s">
        <v>31</v>
      </c>
      <c r="G163" s="7" t="n">
        <v>0.82</v>
      </c>
      <c r="H163" s="7" t="n">
        <v>0.37</v>
      </c>
      <c r="I163" s="7" t="n">
        <v>0.48</v>
      </c>
      <c r="J163" s="8" t="n">
        <f aca="false">IF(I163=0,0,(G163*H163)/I163)</f>
        <v>0.632083333333333</v>
      </c>
      <c r="K163" s="9" t="n">
        <f aca="false">IF(J163=0,0,(J163-MIN(J$5:J$654))/(MAX(J$5:J$654)-MIN(J$5:J$654)))</f>
        <v>0.25082671957672</v>
      </c>
      <c r="L163" s="10" t="str">
        <f aca="false">IF(K163=0,"Very Low",IF(K163&gt;=0.6,"Very High",IF(K163&gt;=0.4,"High",IF(K163&gt;=0.2,"Moderate",IF(K163&gt;=0.1,"Low","Very Low")))))</f>
        <v>Moderate</v>
      </c>
    </row>
    <row r="164" customFormat="false" ht="15" hidden="false" customHeight="false" outlineLevel="0" collapsed="false">
      <c r="A164" s="4" t="n">
        <v>160</v>
      </c>
      <c r="B164" s="4" t="n">
        <v>129</v>
      </c>
      <c r="C164" s="5" t="s">
        <v>208</v>
      </c>
      <c r="D164" s="4" t="s">
        <v>209</v>
      </c>
      <c r="E164" s="4" t="s">
        <v>16</v>
      </c>
      <c r="F164" s="6" t="s">
        <v>17</v>
      </c>
      <c r="G164" s="7" t="n">
        <v>0.59</v>
      </c>
      <c r="H164" s="7" t="n">
        <v>0.97</v>
      </c>
      <c r="I164" s="7" t="n">
        <v>0.55</v>
      </c>
      <c r="J164" s="8" t="n">
        <f aca="false">IF(I164=0,0,(G164*H164)/I164)</f>
        <v>1.04054545454545</v>
      </c>
      <c r="K164" s="9" t="n">
        <f aca="false">IF(J164=0,0,(J164-MIN(J$5:J$654))/(MAX(J$5:J$654)-MIN(J$5:J$654)))</f>
        <v>0.412914862914863</v>
      </c>
      <c r="L164" s="10" t="str">
        <f aca="false">IF(K164=0,"Very Low",IF(K164&gt;=0.6,"Very High",IF(K164&gt;=0.4,"High",IF(K164&gt;=0.2,"Moderate",IF(K164&gt;=0.1,"Low","Very Low")))))</f>
        <v>High</v>
      </c>
    </row>
    <row r="165" customFormat="false" ht="15" hidden="false" customHeight="false" outlineLevel="0" collapsed="false">
      <c r="A165" s="4" t="n">
        <v>161</v>
      </c>
      <c r="B165" s="4" t="n">
        <v>130</v>
      </c>
      <c r="C165" s="5" t="s">
        <v>210</v>
      </c>
      <c r="D165" s="4" t="s">
        <v>93</v>
      </c>
      <c r="E165" s="4" t="s">
        <v>24</v>
      </c>
      <c r="F165" s="6" t="s">
        <v>25</v>
      </c>
      <c r="G165" s="7" t="n">
        <v>0.45</v>
      </c>
      <c r="H165" s="7" t="n">
        <v>0.63</v>
      </c>
      <c r="I165" s="7" t="n">
        <v>0.33</v>
      </c>
      <c r="J165" s="8" t="n">
        <f aca="false">IF(I165=0,0,(G165*H165)/I165)</f>
        <v>0.859090909090909</v>
      </c>
      <c r="K165" s="9" t="n">
        <f aca="false">IF(J165=0,0,(J165-MIN(J$5:J$654))/(MAX(J$5:J$654)-MIN(J$5:J$654)))</f>
        <v>0.340909090909091</v>
      </c>
      <c r="L165" s="10" t="str">
        <f aca="false">IF(K165=0,"Very Low",IF(K165&gt;=0.6,"Very High",IF(K165&gt;=0.4,"High",IF(K165&gt;=0.2,"Moderate",IF(K165&gt;=0.1,"Low","Very Low")))))</f>
        <v>Moderate</v>
      </c>
    </row>
    <row r="166" customFormat="false" ht="15" hidden="false" customHeight="false" outlineLevel="0" collapsed="false">
      <c r="A166" s="4" t="n">
        <v>162</v>
      </c>
      <c r="B166" s="4" t="n">
        <v>130</v>
      </c>
      <c r="C166" s="5" t="s">
        <v>211</v>
      </c>
      <c r="D166" s="4" t="s">
        <v>209</v>
      </c>
      <c r="E166" s="4" t="s">
        <v>16</v>
      </c>
      <c r="F166" s="6" t="s">
        <v>17</v>
      </c>
      <c r="G166" s="7" t="n">
        <v>0.59</v>
      </c>
      <c r="H166" s="7" t="n">
        <v>0.93</v>
      </c>
      <c r="I166" s="7" t="n">
        <v>0.55</v>
      </c>
      <c r="J166" s="8" t="n">
        <f aca="false">IF(I166=0,0,(G166*H166)/I166)</f>
        <v>0.997636363636364</v>
      </c>
      <c r="K166" s="9" t="n">
        <f aca="false">IF(J166=0,0,(J166-MIN(J$5:J$654))/(MAX(J$5:J$654)-MIN(J$5:J$654)))</f>
        <v>0.395887445887446</v>
      </c>
      <c r="L166" s="10" t="str">
        <f aca="false">IF(K166=0,"Very Low",IF(K166&gt;=0.6,"Very High",IF(K166&gt;=0.4,"High",IF(K166&gt;=0.2,"Moderate",IF(K166&gt;=0.1,"Low","Very Low")))))</f>
        <v>Moderate</v>
      </c>
    </row>
    <row r="167" customFormat="false" ht="15" hidden="false" customHeight="false" outlineLevel="0" collapsed="false">
      <c r="A167" s="4" t="n">
        <v>163</v>
      </c>
      <c r="B167" s="4" t="n">
        <v>131</v>
      </c>
      <c r="C167" s="5" t="s">
        <v>212</v>
      </c>
      <c r="D167" s="4" t="s">
        <v>19</v>
      </c>
      <c r="E167" s="4" t="s">
        <v>20</v>
      </c>
      <c r="F167" s="6" t="s">
        <v>27</v>
      </c>
      <c r="G167" s="7" t="n">
        <v>0.75</v>
      </c>
      <c r="H167" s="7" t="n">
        <v>0.59</v>
      </c>
      <c r="I167" s="7" t="n">
        <v>0.53</v>
      </c>
      <c r="J167" s="8" t="n">
        <f aca="false">IF(I167=0,0,(G167*H167)/I167)</f>
        <v>0.834905660377359</v>
      </c>
      <c r="K167" s="9" t="n">
        <f aca="false">IF(J167=0,0,(J167-MIN(J$5:J$654))/(MAX(J$5:J$654)-MIN(J$5:J$654)))</f>
        <v>0.331311769991015</v>
      </c>
      <c r="L167" s="10" t="str">
        <f aca="false">IF(K167=0,"Very Low",IF(K167&gt;=0.6,"Very High",IF(K167&gt;=0.4,"High",IF(K167&gt;=0.2,"Moderate",IF(K167&gt;=0.1,"Low","Very Low")))))</f>
        <v>Moderate</v>
      </c>
    </row>
    <row r="168" customFormat="false" ht="15" hidden="false" customHeight="false" outlineLevel="0" collapsed="false">
      <c r="A168" s="4" t="n">
        <v>164</v>
      </c>
      <c r="B168" s="4" t="n">
        <v>132</v>
      </c>
      <c r="C168" s="5" t="s">
        <v>213</v>
      </c>
      <c r="D168" s="4" t="s">
        <v>83</v>
      </c>
      <c r="E168" s="4" t="s">
        <v>24</v>
      </c>
      <c r="F168" s="6" t="s">
        <v>31</v>
      </c>
      <c r="G168" s="7" t="n">
        <v>0.76</v>
      </c>
      <c r="H168" s="7" t="n">
        <v>0.35</v>
      </c>
      <c r="I168" s="7" t="n">
        <v>0.43</v>
      </c>
      <c r="J168" s="8" t="n">
        <f aca="false">IF(I168=0,0,(G168*H168)/I168)</f>
        <v>0.618604651162791</v>
      </c>
      <c r="K168" s="9" t="n">
        <f aca="false">IF(J168=0,0,(J168-MIN(J$5:J$654))/(MAX(J$5:J$654)-MIN(J$5:J$654)))</f>
        <v>0.245478036175711</v>
      </c>
      <c r="L168" s="10" t="str">
        <f aca="false">IF(K168=0,"Very Low",IF(K168&gt;=0.6,"Very High",IF(K168&gt;=0.4,"High",IF(K168&gt;=0.2,"Moderate",IF(K168&gt;=0.1,"Low","Very Low")))))</f>
        <v>Moderate</v>
      </c>
    </row>
    <row r="169" customFormat="false" ht="15" hidden="false" customHeight="false" outlineLevel="0" collapsed="false">
      <c r="A169" s="4" t="n">
        <v>165</v>
      </c>
      <c r="B169" s="4" t="n">
        <v>132</v>
      </c>
      <c r="C169" s="5" t="s">
        <v>214</v>
      </c>
      <c r="D169" s="4" t="s">
        <v>44</v>
      </c>
      <c r="E169" s="4" t="s">
        <v>30</v>
      </c>
      <c r="F169" s="6" t="s">
        <v>31</v>
      </c>
      <c r="G169" s="7" t="n">
        <v>0.96</v>
      </c>
      <c r="H169" s="7" t="n">
        <v>0.29</v>
      </c>
      <c r="I169" s="7" t="n">
        <v>0.45</v>
      </c>
      <c r="J169" s="8" t="n">
        <f aca="false">IF(I169=0,0,(G169*H169)/I169)</f>
        <v>0.618666666666667</v>
      </c>
      <c r="K169" s="9" t="n">
        <f aca="false">IF(J169=0,0,(J169-MIN(J$5:J$654))/(MAX(J$5:J$654)-MIN(J$5:J$654)))</f>
        <v>0.245502645502645</v>
      </c>
      <c r="L169" s="10" t="str">
        <f aca="false">IF(K169=0,"Very Low",IF(K169&gt;=0.6,"Very High",IF(K169&gt;=0.4,"High",IF(K169&gt;=0.2,"Moderate",IF(K169&gt;=0.1,"Low","Very Low")))))</f>
        <v>Moderate</v>
      </c>
    </row>
    <row r="170" customFormat="false" ht="15" hidden="false" customHeight="false" outlineLevel="0" collapsed="false">
      <c r="A170" s="4" t="n">
        <v>166</v>
      </c>
      <c r="B170" s="4" t="n">
        <v>133</v>
      </c>
      <c r="C170" s="5" t="s">
        <v>215</v>
      </c>
      <c r="D170" s="4" t="s">
        <v>108</v>
      </c>
      <c r="E170" s="4" t="s">
        <v>30</v>
      </c>
      <c r="F170" s="6" t="s">
        <v>27</v>
      </c>
      <c r="G170" s="7" t="n">
        <v>0.375</v>
      </c>
      <c r="H170" s="7" t="n">
        <v>0.97</v>
      </c>
      <c r="I170" s="7" t="n">
        <v>0.44</v>
      </c>
      <c r="J170" s="8" t="n">
        <f aca="false">IF(I170=0,0,(G170*H170)/I170)</f>
        <v>0.826704545454546</v>
      </c>
      <c r="K170" s="9" t="n">
        <f aca="false">IF(J170=0,0,(J170-MIN(J$5:J$654))/(MAX(J$5:J$654)-MIN(J$5:J$654)))</f>
        <v>0.328057359307359</v>
      </c>
      <c r="L170" s="10" t="str">
        <f aca="false">IF(K170=0,"Very Low",IF(K170&gt;=0.6,"Very High",IF(K170&gt;=0.4,"High",IF(K170&gt;=0.2,"Moderate",IF(K170&gt;=0.1,"Low","Very Low")))))</f>
        <v>Moderate</v>
      </c>
    </row>
    <row r="171" customFormat="false" ht="15" hidden="false" customHeight="false" outlineLevel="0" collapsed="false">
      <c r="A171" s="4" t="n">
        <v>167</v>
      </c>
      <c r="B171" s="4" t="n">
        <v>134</v>
      </c>
      <c r="C171" s="5" t="s">
        <v>216</v>
      </c>
      <c r="D171" s="4" t="s">
        <v>36</v>
      </c>
      <c r="E171" s="4" t="s">
        <v>24</v>
      </c>
      <c r="F171" s="6" t="s">
        <v>31</v>
      </c>
      <c r="G171" s="7" t="n">
        <v>0.41</v>
      </c>
      <c r="H171" s="7" t="n">
        <v>0.54</v>
      </c>
      <c r="I171" s="7" t="n">
        <v>0.36</v>
      </c>
      <c r="J171" s="8" t="n">
        <f aca="false">IF(I171=0,0,(G171*H171)/I171)</f>
        <v>0.615</v>
      </c>
      <c r="K171" s="9" t="n">
        <f aca="false">IF(J171=0,0,(J171-MIN(J$5:J$654))/(MAX(J$5:J$654)-MIN(J$5:J$654)))</f>
        <v>0.244047619047619</v>
      </c>
      <c r="L171" s="10" t="str">
        <f aca="false">IF(K171=0,"Very Low",IF(K171&gt;=0.6,"Very High",IF(K171&gt;=0.4,"High",IF(K171&gt;=0.2,"Moderate",IF(K171&gt;=0.1,"Low","Very Low")))))</f>
        <v>Moderate</v>
      </c>
    </row>
    <row r="172" customFormat="false" ht="15" hidden="false" customHeight="false" outlineLevel="0" collapsed="false">
      <c r="A172" s="4" t="n">
        <v>168</v>
      </c>
      <c r="B172" s="4" t="n">
        <v>135</v>
      </c>
      <c r="C172" s="5" t="s">
        <v>217</v>
      </c>
      <c r="D172" s="4" t="s">
        <v>29</v>
      </c>
      <c r="E172" s="4" t="s">
        <v>30</v>
      </c>
      <c r="F172" s="6" t="s">
        <v>25</v>
      </c>
      <c r="G172" s="7" t="n">
        <v>0.45</v>
      </c>
      <c r="H172" s="7" t="n">
        <v>0.78</v>
      </c>
      <c r="I172" s="7" t="n">
        <v>0.42</v>
      </c>
      <c r="J172" s="8" t="n">
        <f aca="false">IF(I172=0,0,(G172*H172)/I172)</f>
        <v>0.835714285714286</v>
      </c>
      <c r="K172" s="9" t="n">
        <f aca="false">IF(J172=0,0,(J172-MIN(J$5:J$654))/(MAX(J$5:J$654)-MIN(J$5:J$654)))</f>
        <v>0.331632653061225</v>
      </c>
      <c r="L172" s="10" t="str">
        <f aca="false">IF(K172=0,"Very Low",IF(K172&gt;=0.6,"Very High",IF(K172&gt;=0.4,"High",IF(K172&gt;=0.2,"Moderate",IF(K172&gt;=0.1,"Low","Very Low")))))</f>
        <v>Moderate</v>
      </c>
    </row>
    <row r="173" customFormat="false" ht="15" hidden="false" customHeight="false" outlineLevel="0" collapsed="false">
      <c r="A173" s="4" t="n">
        <v>169</v>
      </c>
      <c r="B173" s="4" t="n">
        <v>136</v>
      </c>
      <c r="C173" s="5" t="s">
        <v>218</v>
      </c>
      <c r="D173" s="4" t="s">
        <v>59</v>
      </c>
      <c r="E173" s="4" t="s">
        <v>60</v>
      </c>
      <c r="F173" s="6" t="s">
        <v>25</v>
      </c>
      <c r="G173" s="7" t="n">
        <v>0.57</v>
      </c>
      <c r="H173" s="7" t="n">
        <v>0.71</v>
      </c>
      <c r="I173" s="7" t="n">
        <v>0.49</v>
      </c>
      <c r="J173" s="8" t="n">
        <f aca="false">IF(I173=0,0,(G173*H173)/I173)</f>
        <v>0.825918367346939</v>
      </c>
      <c r="K173" s="9" t="n">
        <f aca="false">IF(J173=0,0,(J173-MIN(J$5:J$654))/(MAX(J$5:J$654)-MIN(J$5:J$654)))</f>
        <v>0.327745383867833</v>
      </c>
      <c r="L173" s="10" t="str">
        <f aca="false">IF(K173=0,"Very Low",IF(K173&gt;=0.6,"Very High",IF(K173&gt;=0.4,"High",IF(K173&gt;=0.2,"Moderate",IF(K173&gt;=0.1,"Low","Very Low")))))</f>
        <v>Moderate</v>
      </c>
    </row>
    <row r="174" customFormat="false" ht="15" hidden="false" customHeight="false" outlineLevel="0" collapsed="false">
      <c r="A174" s="4" t="n">
        <v>170</v>
      </c>
      <c r="B174" s="4" t="n">
        <v>137</v>
      </c>
      <c r="C174" s="5" t="s">
        <v>219</v>
      </c>
      <c r="D174" s="4" t="s">
        <v>106</v>
      </c>
      <c r="E174" s="4" t="s">
        <v>87</v>
      </c>
      <c r="F174" s="6" t="s">
        <v>17</v>
      </c>
      <c r="G174" s="7" t="n">
        <v>0.47</v>
      </c>
      <c r="H174" s="7" t="n">
        <v>0.81</v>
      </c>
      <c r="I174" s="7" t="n">
        <v>0.46</v>
      </c>
      <c r="J174" s="8" t="n">
        <f aca="false">IF(I174=0,0,(G174*H174)/I174)</f>
        <v>0.827608695652174</v>
      </c>
      <c r="K174" s="9" t="n">
        <f aca="false">IF(J174=0,0,(J174-MIN(J$5:J$654))/(MAX(J$5:J$654)-MIN(J$5:J$654)))</f>
        <v>0.328416149068323</v>
      </c>
      <c r="L174" s="10" t="str">
        <f aca="false">IF(K174=0,"Very Low",IF(K174&gt;=0.6,"Very High",IF(K174&gt;=0.4,"High",IF(K174&gt;=0.2,"Moderate",IF(K174&gt;=0.1,"Low","Very Low")))))</f>
        <v>Moderate</v>
      </c>
    </row>
    <row r="175" customFormat="false" ht="15" hidden="false" customHeight="false" outlineLevel="0" collapsed="false">
      <c r="A175" s="4" t="n">
        <v>171</v>
      </c>
      <c r="B175" s="4" t="n">
        <v>138</v>
      </c>
      <c r="C175" s="5" t="s">
        <v>220</v>
      </c>
      <c r="D175" s="4" t="s">
        <v>79</v>
      </c>
      <c r="E175" s="4" t="s">
        <v>60</v>
      </c>
      <c r="F175" s="6" t="s">
        <v>17</v>
      </c>
      <c r="G175" s="7" t="n">
        <v>0.7</v>
      </c>
      <c r="H175" s="7" t="n">
        <v>0.76</v>
      </c>
      <c r="I175" s="7" t="n">
        <v>0.56</v>
      </c>
      <c r="J175" s="8" t="n">
        <f aca="false">IF(I175=0,0,(G175*H175)/I175)</f>
        <v>0.95</v>
      </c>
      <c r="K175" s="9" t="n">
        <f aca="false">IF(J175=0,0,(J175-MIN(J$5:J$654))/(MAX(J$5:J$654)-MIN(J$5:J$654)))</f>
        <v>0.376984126984127</v>
      </c>
      <c r="L175" s="10" t="str">
        <f aca="false">IF(K175=0,"Very Low",IF(K175&gt;=0.6,"Very High",IF(K175&gt;=0.4,"High",IF(K175&gt;=0.2,"Moderate",IF(K175&gt;=0.1,"Low","Very Low")))))</f>
        <v>Moderate</v>
      </c>
    </row>
    <row r="176" customFormat="false" ht="15" hidden="false" customHeight="false" outlineLevel="0" collapsed="false">
      <c r="A176" s="4" t="n">
        <v>172</v>
      </c>
      <c r="B176" s="4" t="n">
        <v>139</v>
      </c>
      <c r="C176" s="5" t="s">
        <v>221</v>
      </c>
      <c r="D176" s="4" t="s">
        <v>108</v>
      </c>
      <c r="E176" s="4" t="s">
        <v>30</v>
      </c>
      <c r="F176" s="6" t="s">
        <v>34</v>
      </c>
      <c r="G176" s="7" t="n">
        <v>1</v>
      </c>
      <c r="H176" s="7" t="n">
        <v>0.34</v>
      </c>
      <c r="I176" s="7" t="n">
        <v>0.44</v>
      </c>
      <c r="J176" s="8" t="n">
        <f aca="false">IF(I176=0,0,(G176*H176)/I176)</f>
        <v>0.772727272727273</v>
      </c>
      <c r="K176" s="9" t="n">
        <f aca="false">IF(J176=0,0,(J176-MIN(J$5:J$654))/(MAX(J$5:J$654)-MIN(J$5:J$654)))</f>
        <v>0.306637806637807</v>
      </c>
      <c r="L176" s="10" t="str">
        <f aca="false">IF(K176=0,"Very Low",IF(K176&gt;=0.6,"Very High",IF(K176&gt;=0.4,"High",IF(K176&gt;=0.2,"Moderate",IF(K176&gt;=0.1,"Low","Very Low")))))</f>
        <v>Moderate</v>
      </c>
    </row>
    <row r="177" customFormat="false" ht="15" hidden="false" customHeight="false" outlineLevel="0" collapsed="false">
      <c r="A177" s="4" t="n">
        <v>173</v>
      </c>
      <c r="B177" s="4" t="n">
        <v>140</v>
      </c>
      <c r="C177" s="5" t="s">
        <v>222</v>
      </c>
      <c r="D177" s="4" t="s">
        <v>83</v>
      </c>
      <c r="E177" s="4" t="s">
        <v>24</v>
      </c>
      <c r="F177" s="6" t="s">
        <v>25</v>
      </c>
      <c r="G177" s="7" t="n">
        <v>0.57</v>
      </c>
      <c r="H177" s="7" t="n">
        <v>0.75</v>
      </c>
      <c r="I177" s="7" t="n">
        <v>0.53</v>
      </c>
      <c r="J177" s="8" t="n">
        <f aca="false">IF(I177=0,0,(G177*H177)/I177)</f>
        <v>0.806603773584906</v>
      </c>
      <c r="K177" s="9" t="n">
        <f aca="false">IF(J177=0,0,(J177-MIN(J$5:J$654))/(MAX(J$5:J$654)-MIN(J$5:J$654)))</f>
        <v>0.320080862533693</v>
      </c>
      <c r="L177" s="10" t="str">
        <f aca="false">IF(K177=0,"Very Low",IF(K177&gt;=0.6,"Very High",IF(K177&gt;=0.4,"High",IF(K177&gt;=0.2,"Moderate",IF(K177&gt;=0.1,"Low","Very Low")))))</f>
        <v>Moderate</v>
      </c>
    </row>
    <row r="178" customFormat="false" ht="15" hidden="false" customHeight="false" outlineLevel="0" collapsed="false">
      <c r="A178" s="4" t="n">
        <v>174</v>
      </c>
      <c r="B178" s="4" t="n">
        <v>141</v>
      </c>
      <c r="C178" s="5" t="s">
        <v>223</v>
      </c>
      <c r="D178" s="4" t="s">
        <v>108</v>
      </c>
      <c r="E178" s="4" t="s">
        <v>30</v>
      </c>
      <c r="F178" s="6" t="s">
        <v>25</v>
      </c>
      <c r="G178" s="7" t="n">
        <v>0.45</v>
      </c>
      <c r="H178" s="7" t="n">
        <v>0.84</v>
      </c>
      <c r="I178" s="7" t="n">
        <v>0.47</v>
      </c>
      <c r="J178" s="8" t="n">
        <f aca="false">IF(I178=0,0,(G178*H178)/I178)</f>
        <v>0.804255319148936</v>
      </c>
      <c r="K178" s="9" t="n">
        <f aca="false">IF(J178=0,0,(J178-MIN(J$5:J$654))/(MAX(J$5:J$654)-MIN(J$5:J$654)))</f>
        <v>0.319148936170213</v>
      </c>
      <c r="L178" s="10" t="str">
        <f aca="false">IF(K178=0,"Very Low",IF(K178&gt;=0.6,"Very High",IF(K178&gt;=0.4,"High",IF(K178&gt;=0.2,"Moderate",IF(K178&gt;=0.1,"Low","Very Low")))))</f>
        <v>Moderate</v>
      </c>
    </row>
    <row r="179" customFormat="false" ht="15" hidden="false" customHeight="false" outlineLevel="0" collapsed="false">
      <c r="A179" s="4" t="n">
        <v>175</v>
      </c>
      <c r="B179" s="4" t="n">
        <v>142</v>
      </c>
      <c r="C179" s="5" t="s">
        <v>224</v>
      </c>
      <c r="D179" s="4" t="s">
        <v>83</v>
      </c>
      <c r="E179" s="4" t="s">
        <v>24</v>
      </c>
      <c r="F179" s="6" t="s">
        <v>31</v>
      </c>
      <c r="G179" s="7" t="n">
        <v>0.93</v>
      </c>
      <c r="H179" s="7" t="n">
        <v>0.34</v>
      </c>
      <c r="I179" s="7" t="n">
        <v>0.54</v>
      </c>
      <c r="J179" s="8" t="n">
        <f aca="false">IF(I179=0,0,(G179*H179)/I179)</f>
        <v>0.585555555555556</v>
      </c>
      <c r="K179" s="9" t="n">
        <f aca="false">IF(J179=0,0,(J179-MIN(J$5:J$654))/(MAX(J$5:J$654)-MIN(J$5:J$654)))</f>
        <v>0.232363315696649</v>
      </c>
      <c r="L179" s="10" t="str">
        <f aca="false">IF(K179=0,"Very Low",IF(K179&gt;=0.6,"Very High",IF(K179&gt;=0.4,"High",IF(K179&gt;=0.2,"Moderate",IF(K179&gt;=0.1,"Low","Very Low")))))</f>
        <v>Moderate</v>
      </c>
    </row>
    <row r="180" customFormat="false" ht="15" hidden="false" customHeight="false" outlineLevel="0" collapsed="false">
      <c r="A180" s="4" t="n">
        <v>176</v>
      </c>
      <c r="B180" s="4" t="n">
        <v>143</v>
      </c>
      <c r="C180" s="5" t="s">
        <v>225</v>
      </c>
      <c r="D180" s="4" t="s">
        <v>108</v>
      </c>
      <c r="E180" s="4" t="s">
        <v>30</v>
      </c>
      <c r="F180" s="6" t="s">
        <v>27</v>
      </c>
      <c r="G180" s="7" t="n">
        <v>0.4</v>
      </c>
      <c r="H180" s="7" t="n">
        <v>0.84</v>
      </c>
      <c r="I180" s="7" t="n">
        <v>0.43</v>
      </c>
      <c r="J180" s="8" t="n">
        <f aca="false">IF(I180=0,0,(G180*H180)/I180)</f>
        <v>0.781395348837209</v>
      </c>
      <c r="K180" s="9" t="n">
        <f aca="false">IF(J180=0,0,(J180-MIN(J$5:J$654))/(MAX(J$5:J$654)-MIN(J$5:J$654)))</f>
        <v>0.310077519379845</v>
      </c>
      <c r="L180" s="10" t="str">
        <f aca="false">IF(K180=0,"Very Low",IF(K180&gt;=0.6,"Very High",IF(K180&gt;=0.4,"High",IF(K180&gt;=0.2,"Moderate",IF(K180&gt;=0.1,"Low","Very Low")))))</f>
        <v>Moderate</v>
      </c>
    </row>
    <row r="181" customFormat="false" ht="15" hidden="false" customHeight="false" outlineLevel="0" collapsed="false">
      <c r="A181" s="4" t="n">
        <v>177</v>
      </c>
      <c r="B181" s="4" t="n">
        <v>144</v>
      </c>
      <c r="C181" s="5" t="s">
        <v>226</v>
      </c>
      <c r="D181" s="4" t="s">
        <v>59</v>
      </c>
      <c r="E181" s="4" t="s">
        <v>60</v>
      </c>
      <c r="F181" s="6" t="s">
        <v>31</v>
      </c>
      <c r="G181" s="7" t="n">
        <v>0.41</v>
      </c>
      <c r="H181" s="7" t="n">
        <v>0.54</v>
      </c>
      <c r="I181" s="7" t="n">
        <v>0.38</v>
      </c>
      <c r="J181" s="8" t="n">
        <f aca="false">IF(I181=0,0,(G181*H181)/I181)</f>
        <v>0.582631578947369</v>
      </c>
      <c r="K181" s="9" t="n">
        <f aca="false">IF(J181=0,0,(J181-MIN(J$5:J$654))/(MAX(J$5:J$654)-MIN(J$5:J$654)))</f>
        <v>0.231203007518797</v>
      </c>
      <c r="L181" s="10" t="str">
        <f aca="false">IF(K181=0,"Very Low",IF(K181&gt;=0.6,"Very High",IF(K181&gt;=0.4,"High",IF(K181&gt;=0.2,"Moderate",IF(K181&gt;=0.1,"Low","Very Low")))))</f>
        <v>Moderate</v>
      </c>
    </row>
    <row r="182" customFormat="false" ht="15" hidden="false" customHeight="false" outlineLevel="0" collapsed="false">
      <c r="A182" s="4" t="n">
        <v>178</v>
      </c>
      <c r="B182" s="4" t="n">
        <v>145</v>
      </c>
      <c r="C182" s="5" t="s">
        <v>227</v>
      </c>
      <c r="D182" s="4" t="s">
        <v>83</v>
      </c>
      <c r="E182" s="4" t="s">
        <v>24</v>
      </c>
      <c r="F182" s="6" t="s">
        <v>31</v>
      </c>
      <c r="G182" s="7" t="n">
        <v>0.82</v>
      </c>
      <c r="H182" s="7" t="n">
        <v>0.38</v>
      </c>
      <c r="I182" s="7" t="n">
        <v>0.54</v>
      </c>
      <c r="J182" s="8" t="n">
        <f aca="false">IF(I182=0,0,(G182*H182)/I182)</f>
        <v>0.577037037037037</v>
      </c>
      <c r="K182" s="9" t="n">
        <f aca="false">IF(J182=0,0,(J182-MIN(J$5:J$654))/(MAX(J$5:J$654)-MIN(J$5:J$654)))</f>
        <v>0.228982951205173</v>
      </c>
      <c r="L182" s="10" t="str">
        <f aca="false">IF(K182=0,"Very Low",IF(K182&gt;=0.6,"Very High",IF(K182&gt;=0.4,"High",IF(K182&gt;=0.2,"Moderate",IF(K182&gt;=0.1,"Low","Very Low")))))</f>
        <v>Moderate</v>
      </c>
    </row>
    <row r="183" customFormat="false" ht="15" hidden="false" customHeight="false" outlineLevel="0" collapsed="false">
      <c r="A183" s="4" t="n">
        <v>179</v>
      </c>
      <c r="B183" s="4" t="n">
        <v>146</v>
      </c>
      <c r="C183" s="5" t="s">
        <v>228</v>
      </c>
      <c r="D183" s="4" t="s">
        <v>33</v>
      </c>
      <c r="E183" s="4" t="s">
        <v>24</v>
      </c>
      <c r="F183" s="6" t="s">
        <v>27</v>
      </c>
      <c r="G183" s="7" t="n">
        <v>0.525</v>
      </c>
      <c r="H183" s="7" t="n">
        <v>0.79</v>
      </c>
      <c r="I183" s="7" t="n">
        <v>0.54</v>
      </c>
      <c r="J183" s="8" t="n">
        <f aca="false">IF(I183=0,0,(G183*H183)/I183)</f>
        <v>0.768055555555556</v>
      </c>
      <c r="K183" s="9" t="n">
        <f aca="false">IF(J183=0,0,(J183-MIN(J$5:J$654))/(MAX(J$5:J$654)-MIN(J$5:J$654)))</f>
        <v>0.304783950617284</v>
      </c>
      <c r="L183" s="10" t="str">
        <f aca="false">IF(K183=0,"Very Low",IF(K183&gt;=0.6,"Very High",IF(K183&gt;=0.4,"High",IF(K183&gt;=0.2,"Moderate",IF(K183&gt;=0.1,"Low","Very Low")))))</f>
        <v>Moderate</v>
      </c>
    </row>
    <row r="184" customFormat="false" ht="15" hidden="false" customHeight="false" outlineLevel="0" collapsed="false">
      <c r="A184" s="4" t="n">
        <v>180</v>
      </c>
      <c r="B184" s="4" t="n">
        <v>147</v>
      </c>
      <c r="C184" s="5" t="s">
        <v>229</v>
      </c>
      <c r="D184" s="4" t="s">
        <v>33</v>
      </c>
      <c r="E184" s="4" t="s">
        <v>24</v>
      </c>
      <c r="F184" s="6" t="s">
        <v>27</v>
      </c>
      <c r="G184" s="7" t="n">
        <v>0.7</v>
      </c>
      <c r="H184" s="7" t="n">
        <v>0.48</v>
      </c>
      <c r="I184" s="7" t="n">
        <v>0.44</v>
      </c>
      <c r="J184" s="8" t="n">
        <f aca="false">IF(I184=0,0,(G184*H184)/I184)</f>
        <v>0.763636363636364</v>
      </c>
      <c r="K184" s="9" t="n">
        <f aca="false">IF(J184=0,0,(J184-MIN(J$5:J$654))/(MAX(J$5:J$654)-MIN(J$5:J$654)))</f>
        <v>0.303030303030303</v>
      </c>
      <c r="L184" s="10" t="str">
        <f aca="false">IF(K184=0,"Very Low",IF(K184&gt;=0.6,"Very High",IF(K184&gt;=0.4,"High",IF(K184&gt;=0.2,"Moderate",IF(K184&gt;=0.1,"Low","Very Low")))))</f>
        <v>Moderate</v>
      </c>
    </row>
    <row r="185" customFormat="false" ht="15" hidden="false" customHeight="false" outlineLevel="0" collapsed="false">
      <c r="A185" s="4" t="n">
        <v>181</v>
      </c>
      <c r="B185" s="4" t="n">
        <v>148</v>
      </c>
      <c r="C185" s="5" t="s">
        <v>230</v>
      </c>
      <c r="D185" s="4" t="s">
        <v>29</v>
      </c>
      <c r="E185" s="4" t="s">
        <v>30</v>
      </c>
      <c r="F185" s="6" t="s">
        <v>25</v>
      </c>
      <c r="G185" s="7" t="n">
        <v>0.72</v>
      </c>
      <c r="H185" s="7" t="n">
        <v>0.61</v>
      </c>
      <c r="I185" s="7" t="n">
        <v>0.57</v>
      </c>
      <c r="J185" s="8" t="n">
        <f aca="false">IF(I185=0,0,(G185*H185)/I185)</f>
        <v>0.770526315789474</v>
      </c>
      <c r="K185" s="9" t="n">
        <f aca="false">IF(J185=0,0,(J185-MIN(J$5:J$654))/(MAX(J$5:J$654)-MIN(J$5:J$654)))</f>
        <v>0.305764411027569</v>
      </c>
      <c r="L185" s="10" t="str">
        <f aca="false">IF(K185=0,"Very Low",IF(K185&gt;=0.6,"Very High",IF(K185&gt;=0.4,"High",IF(K185&gt;=0.2,"Moderate",IF(K185&gt;=0.1,"Low","Very Low")))))</f>
        <v>Moderate</v>
      </c>
    </row>
    <row r="186" customFormat="false" ht="15" hidden="false" customHeight="false" outlineLevel="0" collapsed="false">
      <c r="A186" s="4" t="n">
        <v>182</v>
      </c>
      <c r="B186" s="4" t="n">
        <v>149</v>
      </c>
      <c r="C186" s="5" t="s">
        <v>231</v>
      </c>
      <c r="D186" s="4" t="s">
        <v>83</v>
      </c>
      <c r="E186" s="4" t="s">
        <v>24</v>
      </c>
      <c r="F186" s="6" t="s">
        <v>31</v>
      </c>
      <c r="G186" s="7" t="n">
        <v>0.82</v>
      </c>
      <c r="H186" s="7" t="n">
        <v>0.3</v>
      </c>
      <c r="I186" s="7" t="n">
        <v>0.44</v>
      </c>
      <c r="J186" s="8" t="n">
        <f aca="false">IF(I186=0,0,(G186*H186)/I186)</f>
        <v>0.559090909090909</v>
      </c>
      <c r="K186" s="9" t="n">
        <f aca="false">IF(J186=0,0,(J186-MIN(J$5:J$654))/(MAX(J$5:J$654)-MIN(J$5:J$654)))</f>
        <v>0.221861471861472</v>
      </c>
      <c r="L186" s="10" t="str">
        <f aca="false">IF(K186=0,"Very Low",IF(K186&gt;=0.6,"Very High",IF(K186&gt;=0.4,"High",IF(K186&gt;=0.2,"Moderate",IF(K186&gt;=0.1,"Low","Very Low")))))</f>
        <v>Moderate</v>
      </c>
    </row>
    <row r="187" customFormat="false" ht="15" hidden="false" customHeight="false" outlineLevel="0" collapsed="false">
      <c r="A187" s="4" t="n">
        <v>183</v>
      </c>
      <c r="B187" s="4" t="n">
        <v>149</v>
      </c>
      <c r="C187" s="5" t="s">
        <v>232</v>
      </c>
      <c r="D187" s="4" t="s">
        <v>38</v>
      </c>
      <c r="E187" s="4" t="s">
        <v>16</v>
      </c>
      <c r="F187" s="6" t="s">
        <v>17</v>
      </c>
      <c r="G187" s="7" t="n">
        <v>0.47</v>
      </c>
      <c r="H187" s="7" t="n">
        <v>0.91</v>
      </c>
      <c r="I187" s="7" t="n">
        <v>0.47</v>
      </c>
      <c r="J187" s="8" t="n">
        <f aca="false">IF(I187=0,0,(G187*H187)/I187)</f>
        <v>0.91</v>
      </c>
      <c r="K187" s="9" t="n">
        <f aca="false">IF(J187=0,0,(J187-MIN(J$5:J$654))/(MAX(J$5:J$654)-MIN(J$5:J$654)))</f>
        <v>0.361111111111111</v>
      </c>
      <c r="L187" s="10" t="str">
        <f aca="false">IF(K187=0,"Very Low",IF(K187&gt;=0.6,"Very High",IF(K187&gt;=0.4,"High",IF(K187&gt;=0.2,"Moderate",IF(K187&gt;=0.1,"Low","Very Low")))))</f>
        <v>Moderate</v>
      </c>
    </row>
    <row r="188" customFormat="false" ht="15" hidden="false" customHeight="false" outlineLevel="0" collapsed="false">
      <c r="A188" s="4" t="n">
        <v>184</v>
      </c>
      <c r="B188" s="4" t="n">
        <v>150</v>
      </c>
      <c r="C188" s="5" t="s">
        <v>233</v>
      </c>
      <c r="D188" s="4" t="s">
        <v>29</v>
      </c>
      <c r="E188" s="4" t="s">
        <v>30</v>
      </c>
      <c r="F188" s="6" t="s">
        <v>31</v>
      </c>
      <c r="G188" s="7" t="n">
        <v>0.41</v>
      </c>
      <c r="H188" s="7" t="n">
        <v>0.65</v>
      </c>
      <c r="I188" s="7" t="n">
        <v>0.48</v>
      </c>
      <c r="J188" s="8" t="n">
        <f aca="false">IF(I188=0,0,(G188*H188)/I188)</f>
        <v>0.555208333333333</v>
      </c>
      <c r="K188" s="9" t="n">
        <f aca="false">IF(J188=0,0,(J188-MIN(J$5:J$654))/(MAX(J$5:J$654)-MIN(J$5:J$654)))</f>
        <v>0.220320767195767</v>
      </c>
      <c r="L188" s="10" t="str">
        <f aca="false">IF(K188=0,"Very Low",IF(K188&gt;=0.6,"Very High",IF(K188&gt;=0.4,"High",IF(K188&gt;=0.2,"Moderate",IF(K188&gt;=0.1,"Low","Very Low")))))</f>
        <v>Moderate</v>
      </c>
    </row>
    <row r="189" customFormat="false" ht="15" hidden="false" customHeight="false" outlineLevel="0" collapsed="false">
      <c r="A189" s="4" t="n">
        <v>185</v>
      </c>
      <c r="B189" s="4" t="n">
        <v>151</v>
      </c>
      <c r="C189" s="5" t="s">
        <v>234</v>
      </c>
      <c r="D189" s="4" t="s">
        <v>29</v>
      </c>
      <c r="E189" s="4" t="s">
        <v>30</v>
      </c>
      <c r="F189" s="6" t="s">
        <v>31</v>
      </c>
      <c r="G189" s="7" t="n">
        <v>0.68</v>
      </c>
      <c r="H189" s="7" t="n">
        <v>0.39</v>
      </c>
      <c r="I189" s="7" t="n">
        <v>0.48</v>
      </c>
      <c r="J189" s="8" t="n">
        <f aca="false">IF(I189=0,0,(G189*H189)/I189)</f>
        <v>0.5525</v>
      </c>
      <c r="K189" s="9" t="n">
        <f aca="false">IF(J189=0,0,(J189-MIN(J$5:J$654))/(MAX(J$5:J$654)-MIN(J$5:J$654)))</f>
        <v>0.219246031746032</v>
      </c>
      <c r="L189" s="10" t="str">
        <f aca="false">IF(K189=0,"Very Low",IF(K189&gt;=0.6,"Very High",IF(K189&gt;=0.4,"High",IF(K189&gt;=0.2,"Moderate",IF(K189&gt;=0.1,"Low","Very Low")))))</f>
        <v>Moderate</v>
      </c>
    </row>
    <row r="190" customFormat="false" ht="15" hidden="false" customHeight="false" outlineLevel="0" collapsed="false">
      <c r="A190" s="4" t="n">
        <v>186</v>
      </c>
      <c r="B190" s="4" t="n">
        <v>151</v>
      </c>
      <c r="C190" s="5" t="s">
        <v>235</v>
      </c>
      <c r="D190" s="4" t="s">
        <v>29</v>
      </c>
      <c r="E190" s="4" t="s">
        <v>30</v>
      </c>
      <c r="F190" s="6" t="s">
        <v>31</v>
      </c>
      <c r="G190" s="7" t="n">
        <v>0.68</v>
      </c>
      <c r="H190" s="7" t="n">
        <v>0.39</v>
      </c>
      <c r="I190" s="7" t="n">
        <v>0.48</v>
      </c>
      <c r="J190" s="8" t="n">
        <f aca="false">IF(I190=0,0,(G190*H190)/I190)</f>
        <v>0.5525</v>
      </c>
      <c r="K190" s="9" t="n">
        <f aca="false">IF(J190=0,0,(J190-MIN(J$5:J$654))/(MAX(J$5:J$654)-MIN(J$5:J$654)))</f>
        <v>0.219246031746032</v>
      </c>
      <c r="L190" s="10" t="str">
        <f aca="false">IF(K190=0,"Very Low",IF(K190&gt;=0.6,"Very High",IF(K190&gt;=0.4,"High",IF(K190&gt;=0.2,"Moderate",IF(K190&gt;=0.1,"Low","Very Low")))))</f>
        <v>Moderate</v>
      </c>
    </row>
    <row r="191" customFormat="false" ht="15" hidden="false" customHeight="false" outlineLevel="0" collapsed="false">
      <c r="A191" s="4" t="n">
        <v>187</v>
      </c>
      <c r="B191" s="4" t="n">
        <v>151</v>
      </c>
      <c r="C191" s="5" t="s">
        <v>236</v>
      </c>
      <c r="D191" s="4" t="s">
        <v>108</v>
      </c>
      <c r="E191" s="4" t="s">
        <v>30</v>
      </c>
      <c r="F191" s="6" t="s">
        <v>25</v>
      </c>
      <c r="G191" s="7" t="n">
        <v>0.57</v>
      </c>
      <c r="H191" s="7" t="n">
        <v>0.7</v>
      </c>
      <c r="I191" s="7" t="n">
        <v>0.53</v>
      </c>
      <c r="J191" s="8" t="n">
        <f aca="false">IF(I191=0,0,(G191*H191)/I191)</f>
        <v>0.752830188679245</v>
      </c>
      <c r="K191" s="9" t="n">
        <f aca="false">IF(J191=0,0,(J191-MIN(J$5:J$654))/(MAX(J$5:J$654)-MIN(J$5:J$654)))</f>
        <v>0.29874213836478</v>
      </c>
      <c r="L191" s="10" t="str">
        <f aca="false">IF(K191=0,"Very Low",IF(K191&gt;=0.6,"Very High",IF(K191&gt;=0.4,"High",IF(K191&gt;=0.2,"Moderate",IF(K191&gt;=0.1,"Low","Very Low")))))</f>
        <v>Moderate</v>
      </c>
    </row>
    <row r="192" customFormat="false" ht="15" hidden="false" customHeight="false" outlineLevel="0" collapsed="false">
      <c r="A192" s="4" t="n">
        <v>188</v>
      </c>
      <c r="B192" s="4" t="n">
        <v>152</v>
      </c>
      <c r="C192" s="5" t="s">
        <v>237</v>
      </c>
      <c r="D192" s="4" t="s">
        <v>40</v>
      </c>
      <c r="E192" s="4" t="s">
        <v>20</v>
      </c>
      <c r="F192" s="6" t="s">
        <v>25</v>
      </c>
      <c r="G192" s="7" t="n">
        <v>0.45</v>
      </c>
      <c r="H192" s="7" t="n">
        <v>0.5</v>
      </c>
      <c r="I192" s="7" t="n">
        <v>0.3</v>
      </c>
      <c r="J192" s="8" t="n">
        <f aca="false">IF(I192=0,0,(G192*H192)/I192)</f>
        <v>0.75</v>
      </c>
      <c r="K192" s="9" t="n">
        <f aca="false">IF(J192=0,0,(J192-MIN(J$5:J$654))/(MAX(J$5:J$654)-MIN(J$5:J$654)))</f>
        <v>0.297619047619048</v>
      </c>
      <c r="L192" s="10" t="str">
        <f aca="false">IF(K192=0,"Very Low",IF(K192&gt;=0.6,"Very High",IF(K192&gt;=0.4,"High",IF(K192&gt;=0.2,"Moderate",IF(K192&gt;=0.1,"Low","Very Low")))))</f>
        <v>Moderate</v>
      </c>
    </row>
    <row r="193" customFormat="false" ht="15" hidden="false" customHeight="false" outlineLevel="0" collapsed="false">
      <c r="A193" s="4" t="n">
        <v>189</v>
      </c>
      <c r="B193" s="4" t="n">
        <v>153</v>
      </c>
      <c r="C193" s="5" t="s">
        <v>238</v>
      </c>
      <c r="D193" s="4" t="s">
        <v>36</v>
      </c>
      <c r="E193" s="4" t="s">
        <v>24</v>
      </c>
      <c r="F193" s="6" t="s">
        <v>25</v>
      </c>
      <c r="G193" s="7" t="n">
        <v>0.45</v>
      </c>
      <c r="H193" s="7" t="n">
        <v>0.63</v>
      </c>
      <c r="I193" s="7" t="n">
        <v>0.38</v>
      </c>
      <c r="J193" s="8" t="n">
        <f aca="false">IF(I193=0,0,(G193*H193)/I193)</f>
        <v>0.746052631578947</v>
      </c>
      <c r="K193" s="9" t="n">
        <f aca="false">IF(J193=0,0,(J193-MIN(J$5:J$654))/(MAX(J$5:J$654)-MIN(J$5:J$654)))</f>
        <v>0.296052631578947</v>
      </c>
      <c r="L193" s="10" t="str">
        <f aca="false">IF(K193=0,"Very Low",IF(K193&gt;=0.6,"Very High",IF(K193&gt;=0.4,"High",IF(K193&gt;=0.2,"Moderate",IF(K193&gt;=0.1,"Low","Very Low")))))</f>
        <v>Moderate</v>
      </c>
    </row>
    <row r="194" customFormat="false" ht="15" hidden="false" customHeight="false" outlineLevel="0" collapsed="false">
      <c r="A194" s="4" t="n">
        <v>190</v>
      </c>
      <c r="B194" s="4" t="n">
        <v>154</v>
      </c>
      <c r="C194" s="5" t="s">
        <v>239</v>
      </c>
      <c r="D194" s="4" t="s">
        <v>36</v>
      </c>
      <c r="E194" s="4" t="s">
        <v>24</v>
      </c>
      <c r="F194" s="6" t="s">
        <v>31</v>
      </c>
      <c r="G194" s="7" t="n">
        <v>0.41</v>
      </c>
      <c r="H194" s="7" t="n">
        <v>0.55</v>
      </c>
      <c r="I194" s="7" t="n">
        <v>0.42</v>
      </c>
      <c r="J194" s="8" t="n">
        <f aca="false">IF(I194=0,0,(G194*H194)/I194)</f>
        <v>0.536904761904762</v>
      </c>
      <c r="K194" s="9" t="n">
        <f aca="false">IF(J194=0,0,(J194-MIN(J$5:J$654))/(MAX(J$5:J$654)-MIN(J$5:J$654)))</f>
        <v>0.213057445200302</v>
      </c>
      <c r="L194" s="10" t="str">
        <f aca="false">IF(K194=0,"Very Low",IF(K194&gt;=0.6,"Very High",IF(K194&gt;=0.4,"High",IF(K194&gt;=0.2,"Moderate",IF(K194&gt;=0.1,"Low","Very Low")))))</f>
        <v>Moderate</v>
      </c>
    </row>
    <row r="195" customFormat="false" ht="15" hidden="false" customHeight="false" outlineLevel="0" collapsed="false">
      <c r="A195" s="4" t="n">
        <v>191</v>
      </c>
      <c r="B195" s="4" t="n">
        <v>155</v>
      </c>
      <c r="C195" s="5" t="s">
        <v>240</v>
      </c>
      <c r="D195" s="4" t="s">
        <v>106</v>
      </c>
      <c r="E195" s="4" t="s">
        <v>87</v>
      </c>
      <c r="F195" s="6" t="s">
        <v>31</v>
      </c>
      <c r="G195" s="7" t="n">
        <v>0.41</v>
      </c>
      <c r="H195" s="7" t="n">
        <v>0.61</v>
      </c>
      <c r="I195" s="7" t="n">
        <v>0.47</v>
      </c>
      <c r="J195" s="8" t="n">
        <f aca="false">IF(I195=0,0,(G195*H195)/I195)</f>
        <v>0.532127659574468</v>
      </c>
      <c r="K195" s="9" t="n">
        <f aca="false">IF(J195=0,0,(J195-MIN(J$5:J$654))/(MAX(J$5:J$654)-MIN(J$5:J$654)))</f>
        <v>0.211161769672408</v>
      </c>
      <c r="L195" s="10" t="str">
        <f aca="false">IF(K195=0,"Very Low",IF(K195&gt;=0.6,"Very High",IF(K195&gt;=0.4,"High",IF(K195&gt;=0.2,"Moderate",IF(K195&gt;=0.1,"Low","Very Low")))))</f>
        <v>Moderate</v>
      </c>
    </row>
    <row r="196" customFormat="false" ht="15" hidden="false" customHeight="false" outlineLevel="0" collapsed="false">
      <c r="A196" s="4" t="n">
        <v>192</v>
      </c>
      <c r="B196" s="4" t="n">
        <v>156</v>
      </c>
      <c r="C196" s="5" t="s">
        <v>241</v>
      </c>
      <c r="D196" s="4" t="s">
        <v>36</v>
      </c>
      <c r="E196" s="4" t="s">
        <v>24</v>
      </c>
      <c r="F196" s="6" t="s">
        <v>31</v>
      </c>
      <c r="G196" s="7" t="n">
        <v>0.41</v>
      </c>
      <c r="H196" s="7" t="n">
        <v>0.54</v>
      </c>
      <c r="I196" s="7" t="n">
        <v>0.42</v>
      </c>
      <c r="J196" s="8" t="n">
        <f aca="false">IF(I196=0,0,(G196*H196)/I196)</f>
        <v>0.527142857142857</v>
      </c>
      <c r="K196" s="9" t="n">
        <f aca="false">IF(J196=0,0,(J196-MIN(J$5:J$654))/(MAX(J$5:J$654)-MIN(J$5:J$654)))</f>
        <v>0.209183673469388</v>
      </c>
      <c r="L196" s="10" t="str">
        <f aca="false">IF(K196=0,"Very Low",IF(K196&gt;=0.6,"Very High",IF(K196&gt;=0.4,"High",IF(K196&gt;=0.2,"Moderate",IF(K196&gt;=0.1,"Low","Very Low")))))</f>
        <v>Moderate</v>
      </c>
    </row>
    <row r="197" customFormat="false" ht="15" hidden="false" customHeight="false" outlineLevel="0" collapsed="false">
      <c r="A197" s="4" t="n">
        <v>193</v>
      </c>
      <c r="B197" s="4" t="n">
        <v>157</v>
      </c>
      <c r="C197" s="5" t="s">
        <v>242</v>
      </c>
      <c r="D197" s="4" t="s">
        <v>93</v>
      </c>
      <c r="E197" s="4" t="s">
        <v>24</v>
      </c>
      <c r="F197" s="6" t="s">
        <v>31</v>
      </c>
      <c r="G197" s="7" t="n">
        <v>0.41</v>
      </c>
      <c r="H197" s="7" t="n">
        <v>0.56</v>
      </c>
      <c r="I197" s="7" t="n">
        <v>0.44</v>
      </c>
      <c r="J197" s="8" t="n">
        <f aca="false">IF(I197=0,0,(G197*H197)/I197)</f>
        <v>0.521818181818182</v>
      </c>
      <c r="K197" s="9" t="n">
        <f aca="false">IF(J197=0,0,(J197-MIN(J$5:J$654))/(MAX(J$5:J$654)-MIN(J$5:J$654)))</f>
        <v>0.207070707070707</v>
      </c>
      <c r="L197" s="10" t="str">
        <f aca="false">IF(K197=0,"Very Low",IF(K197&gt;=0.6,"Very High",IF(K197&gt;=0.4,"High",IF(K197&gt;=0.2,"Moderate",IF(K197&gt;=0.1,"Low","Very Low")))))</f>
        <v>Moderate</v>
      </c>
    </row>
    <row r="198" customFormat="false" ht="15" hidden="false" customHeight="false" outlineLevel="0" collapsed="false">
      <c r="A198" s="4" t="n">
        <v>194</v>
      </c>
      <c r="B198" s="4" t="n">
        <v>158</v>
      </c>
      <c r="C198" s="5" t="s">
        <v>243</v>
      </c>
      <c r="D198" s="4" t="s">
        <v>106</v>
      </c>
      <c r="E198" s="4" t="s">
        <v>87</v>
      </c>
      <c r="F198" s="6" t="s">
        <v>31</v>
      </c>
      <c r="G198" s="7" t="n">
        <v>0.41</v>
      </c>
      <c r="H198" s="7" t="n">
        <v>0.58</v>
      </c>
      <c r="I198" s="7" t="n">
        <v>0.46</v>
      </c>
      <c r="J198" s="8" t="n">
        <f aca="false">IF(I198=0,0,(G198*H198)/I198)</f>
        <v>0.51695652173913</v>
      </c>
      <c r="K198" s="9" t="n">
        <f aca="false">IF(J198=0,0,(J198-MIN(J$5:J$654))/(MAX(J$5:J$654)-MIN(J$5:J$654)))</f>
        <v>0.205141476880607</v>
      </c>
      <c r="L198" s="10" t="str">
        <f aca="false">IF(K198=0,"Very Low",IF(K198&gt;=0.6,"Very High",IF(K198&gt;=0.4,"High",IF(K198&gt;=0.2,"Moderate",IF(K198&gt;=0.1,"Low","Very Low")))))</f>
        <v>Moderate</v>
      </c>
    </row>
    <row r="199" customFormat="false" ht="15" hidden="false" customHeight="false" outlineLevel="0" collapsed="false">
      <c r="A199" s="4" t="n">
        <v>195</v>
      </c>
      <c r="B199" s="4" t="n">
        <v>159</v>
      </c>
      <c r="C199" s="5" t="s">
        <v>244</v>
      </c>
      <c r="D199" s="4" t="s">
        <v>106</v>
      </c>
      <c r="E199" s="4" t="s">
        <v>87</v>
      </c>
      <c r="F199" s="6" t="s">
        <v>31</v>
      </c>
      <c r="G199" s="7" t="n">
        <v>0.41</v>
      </c>
      <c r="H199" s="7" t="n">
        <v>0.56</v>
      </c>
      <c r="I199" s="7" t="n">
        <v>0.45</v>
      </c>
      <c r="J199" s="8" t="n">
        <f aca="false">IF(I199=0,0,(G199*H199)/I199)</f>
        <v>0.510222222222222</v>
      </c>
      <c r="K199" s="9" t="n">
        <f aca="false">IF(J199=0,0,(J199-MIN(J$5:J$654))/(MAX(J$5:J$654)-MIN(J$5:J$654)))</f>
        <v>0.202469135802469</v>
      </c>
      <c r="L199" s="10" t="str">
        <f aca="false">IF(K199=0,"Very Low",IF(K199&gt;=0.6,"Very High",IF(K199&gt;=0.4,"High",IF(K199&gt;=0.2,"Moderate",IF(K199&gt;=0.1,"Low","Very Low")))))</f>
        <v>Moderate</v>
      </c>
    </row>
    <row r="200" customFormat="false" ht="15" hidden="false" customHeight="false" outlineLevel="0" collapsed="false">
      <c r="A200" s="4" t="n">
        <v>196</v>
      </c>
      <c r="B200" s="4" t="n">
        <v>160</v>
      </c>
      <c r="C200" s="5" t="s">
        <v>245</v>
      </c>
      <c r="D200" s="4" t="s">
        <v>93</v>
      </c>
      <c r="E200" s="4" t="s">
        <v>24</v>
      </c>
      <c r="F200" s="6" t="s">
        <v>25</v>
      </c>
      <c r="G200" s="7" t="n">
        <v>0.45</v>
      </c>
      <c r="H200" s="7" t="n">
        <v>0.79</v>
      </c>
      <c r="I200" s="7" t="n">
        <v>0.52</v>
      </c>
      <c r="J200" s="8" t="n">
        <f aca="false">IF(I200=0,0,(G200*H200)/I200)</f>
        <v>0.683653846153846</v>
      </c>
      <c r="K200" s="9" t="n">
        <f aca="false">IF(J200=0,0,(J200-MIN(J$5:J$654))/(MAX(J$5:J$654)-MIN(J$5:J$654)))</f>
        <v>0.271291208791209</v>
      </c>
      <c r="L200" s="10" t="str">
        <f aca="false">IF(K200=0,"Very Low",IF(K200&gt;=0.6,"Very High",IF(K200&gt;=0.4,"High",IF(K200&gt;=0.2,"Moderate",IF(K200&gt;=0.1,"Low","Very Low")))))</f>
        <v>Moderate</v>
      </c>
    </row>
    <row r="201" customFormat="false" ht="15" hidden="false" customHeight="false" outlineLevel="0" collapsed="false">
      <c r="A201" s="4" t="n">
        <v>197</v>
      </c>
      <c r="B201" s="4" t="n">
        <v>161</v>
      </c>
      <c r="C201" s="5" t="s">
        <v>246</v>
      </c>
      <c r="D201" s="4" t="s">
        <v>23</v>
      </c>
      <c r="E201" s="4" t="s">
        <v>24</v>
      </c>
      <c r="F201" s="6" t="s">
        <v>25</v>
      </c>
      <c r="G201" s="7" t="n">
        <v>0.28</v>
      </c>
      <c r="H201" s="7" t="n">
        <v>0.8</v>
      </c>
      <c r="I201" s="7" t="n">
        <v>0.33</v>
      </c>
      <c r="J201" s="8" t="n">
        <f aca="false">IF(I201=0,0,(G201*H201)/I201)</f>
        <v>0.678787878787879</v>
      </c>
      <c r="K201" s="9" t="n">
        <f aca="false">IF(J201=0,0,(J201-MIN(J$5:J$654))/(MAX(J$5:J$654)-MIN(J$5:J$654)))</f>
        <v>0.269360269360269</v>
      </c>
      <c r="L201" s="10" t="str">
        <f aca="false">IF(K201=0,"Very Low",IF(K201&gt;=0.6,"Very High",IF(K201&gt;=0.4,"High",IF(K201&gt;=0.2,"Moderate",IF(K201&gt;=0.1,"Low","Very Low")))))</f>
        <v>Moderate</v>
      </c>
    </row>
    <row r="202" customFormat="false" ht="15" hidden="false" customHeight="false" outlineLevel="0" collapsed="false">
      <c r="A202" s="4" t="n">
        <v>198</v>
      </c>
      <c r="B202" s="4" t="n">
        <v>162</v>
      </c>
      <c r="C202" s="5" t="s">
        <v>247</v>
      </c>
      <c r="D202" s="4" t="s">
        <v>95</v>
      </c>
      <c r="E202" s="4" t="s">
        <v>20</v>
      </c>
      <c r="F202" s="6" t="s">
        <v>17</v>
      </c>
      <c r="G202" s="7" t="n">
        <v>0.47</v>
      </c>
      <c r="H202" s="7" t="n">
        <v>0.96</v>
      </c>
      <c r="I202" s="7" t="n">
        <v>0.5</v>
      </c>
      <c r="J202" s="8" t="n">
        <f aca="false">IF(I202=0,0,(G202*H202)/I202)</f>
        <v>0.9024</v>
      </c>
      <c r="K202" s="9" t="n">
        <f aca="false">IF(J202=0,0,(J202-MIN(J$5:J$654))/(MAX(J$5:J$654)-MIN(J$5:J$654)))</f>
        <v>0.358095238095238</v>
      </c>
      <c r="L202" s="10" t="str">
        <f aca="false">IF(K202=0,"Very Low",IF(K202&gt;=0.6,"Very High",IF(K202&gt;=0.4,"High",IF(K202&gt;=0.2,"Moderate",IF(K202&gt;=0.1,"Low","Very Low")))))</f>
        <v>Moderate</v>
      </c>
    </row>
    <row r="203" customFormat="false" ht="15" hidden="false" customHeight="false" outlineLevel="0" collapsed="false">
      <c r="A203" s="4" t="n">
        <v>199</v>
      </c>
      <c r="B203" s="4" t="n">
        <v>163</v>
      </c>
      <c r="C203" s="5" t="s">
        <v>248</v>
      </c>
      <c r="D203" s="4" t="s">
        <v>83</v>
      </c>
      <c r="E203" s="4" t="s">
        <v>24</v>
      </c>
      <c r="F203" s="6" t="s">
        <v>31</v>
      </c>
      <c r="G203" s="7" t="n">
        <v>0.82</v>
      </c>
      <c r="H203" s="7" t="n">
        <v>0.29</v>
      </c>
      <c r="I203" s="7" t="n">
        <v>0.49</v>
      </c>
      <c r="J203" s="8" t="n">
        <f aca="false">IF(I203=0,0,(G203*H203)/I203)</f>
        <v>0.48530612244898</v>
      </c>
      <c r="K203" s="9" t="n">
        <f aca="false">IF(J203=0,0,(J203-MIN(J$5:J$654))/(MAX(J$5:J$654)-MIN(J$5:J$654)))</f>
        <v>0.192581794622611</v>
      </c>
      <c r="L203" s="10" t="str">
        <f aca="false">IF(K203=0,"Very Low",IF(K203&gt;=0.6,"Very High",IF(K203&gt;=0.4,"High",IF(K203&gt;=0.2,"Moderate",IF(K203&gt;=0.1,"Low","Very Low")))))</f>
        <v>Low</v>
      </c>
    </row>
    <row r="204" customFormat="false" ht="15" hidden="false" customHeight="false" outlineLevel="0" collapsed="false">
      <c r="A204" s="4" t="n">
        <v>200</v>
      </c>
      <c r="B204" s="4" t="n">
        <v>163</v>
      </c>
      <c r="C204" s="5" t="s">
        <v>249</v>
      </c>
      <c r="D204" s="4" t="s">
        <v>59</v>
      </c>
      <c r="E204" s="4" t="s">
        <v>60</v>
      </c>
      <c r="F204" s="6" t="s">
        <v>31</v>
      </c>
      <c r="G204" s="7" t="n">
        <v>0.68</v>
      </c>
      <c r="H204" s="7" t="n">
        <v>0.35</v>
      </c>
      <c r="I204" s="7" t="n">
        <v>0.49</v>
      </c>
      <c r="J204" s="8" t="n">
        <f aca="false">IF(I204=0,0,(G204*H204)/I204)</f>
        <v>0.485714285714286</v>
      </c>
      <c r="K204" s="9" t="n">
        <f aca="false">IF(J204=0,0,(J204-MIN(J$5:J$654))/(MAX(J$5:J$654)-MIN(J$5:J$654)))</f>
        <v>0.192743764172336</v>
      </c>
      <c r="L204" s="10" t="str">
        <f aca="false">IF(K204=0,"Very Low",IF(K204&gt;=0.6,"Very High",IF(K204&gt;=0.4,"High",IF(K204&gt;=0.2,"Moderate",IF(K204&gt;=0.1,"Low","Very Low")))))</f>
        <v>Low</v>
      </c>
    </row>
    <row r="205" customFormat="false" ht="15" hidden="false" customHeight="false" outlineLevel="0" collapsed="false">
      <c r="A205" s="4" t="n">
        <v>201</v>
      </c>
      <c r="B205" s="4" t="n">
        <v>164</v>
      </c>
      <c r="C205" s="5" t="s">
        <v>250</v>
      </c>
      <c r="D205" s="4" t="s">
        <v>83</v>
      </c>
      <c r="E205" s="4" t="s">
        <v>24</v>
      </c>
      <c r="F205" s="6" t="s">
        <v>31</v>
      </c>
      <c r="G205" s="7" t="n">
        <v>0.76</v>
      </c>
      <c r="H205" s="7" t="n">
        <v>0.33</v>
      </c>
      <c r="I205" s="7" t="n">
        <v>0.52</v>
      </c>
      <c r="J205" s="8" t="n">
        <f aca="false">IF(I205=0,0,(G205*H205)/I205)</f>
        <v>0.482307692307692</v>
      </c>
      <c r="K205" s="9" t="n">
        <f aca="false">IF(J205=0,0,(J205-MIN(J$5:J$654))/(MAX(J$5:J$654)-MIN(J$5:J$654)))</f>
        <v>0.191391941391941</v>
      </c>
      <c r="L205" s="10" t="str">
        <f aca="false">IF(K205=0,"Very Low",IF(K205&gt;=0.6,"Very High",IF(K205&gt;=0.4,"High",IF(K205&gt;=0.2,"Moderate",IF(K205&gt;=0.1,"Low","Very Low")))))</f>
        <v>Low</v>
      </c>
    </row>
    <row r="206" customFormat="false" ht="15" hidden="false" customHeight="false" outlineLevel="0" collapsed="false">
      <c r="A206" s="4" t="n">
        <v>202</v>
      </c>
      <c r="B206" s="4" t="n">
        <v>164</v>
      </c>
      <c r="C206" s="5" t="s">
        <v>251</v>
      </c>
      <c r="D206" s="4" t="s">
        <v>19</v>
      </c>
      <c r="E206" s="4" t="s">
        <v>20</v>
      </c>
      <c r="F206" s="6" t="s">
        <v>34</v>
      </c>
      <c r="G206" s="7" t="n">
        <v>0.363</v>
      </c>
      <c r="H206" s="7" t="n">
        <v>0.88</v>
      </c>
      <c r="I206" s="7" t="n">
        <v>0.51</v>
      </c>
      <c r="J206" s="8" t="n">
        <f aca="false">IF(I206=0,0,(G206*H206)/I206)</f>
        <v>0.626352941176471</v>
      </c>
      <c r="K206" s="9" t="n">
        <f aca="false">IF(J206=0,0,(J206-MIN(J$5:J$654))/(MAX(J$5:J$654)-MIN(J$5:J$654)))</f>
        <v>0.248552754435107</v>
      </c>
      <c r="L206" s="10" t="str">
        <f aca="false">IF(K206=0,"Very Low",IF(K206&gt;=0.6,"Very High",IF(K206&gt;=0.4,"High",IF(K206&gt;=0.2,"Moderate",IF(K206&gt;=0.1,"Low","Very Low")))))</f>
        <v>Moderate</v>
      </c>
    </row>
    <row r="207" customFormat="false" ht="15" hidden="false" customHeight="false" outlineLevel="0" collapsed="false">
      <c r="A207" s="4" t="n">
        <v>203</v>
      </c>
      <c r="B207" s="4" t="n">
        <v>165</v>
      </c>
      <c r="C207" s="5" t="s">
        <v>252</v>
      </c>
      <c r="D207" s="4" t="s">
        <v>23</v>
      </c>
      <c r="E207" s="4" t="s">
        <v>24</v>
      </c>
      <c r="F207" s="6" t="s">
        <v>27</v>
      </c>
      <c r="G207" s="7" t="n">
        <v>0.35</v>
      </c>
      <c r="H207" s="7" t="n">
        <v>0.93</v>
      </c>
      <c r="I207" s="7" t="n">
        <v>0.51</v>
      </c>
      <c r="J207" s="8" t="n">
        <f aca="false">IF(I207=0,0,(G207*H207)/I207)</f>
        <v>0.638235294117647</v>
      </c>
      <c r="K207" s="9" t="n">
        <f aca="false">IF(J207=0,0,(J207-MIN(J$5:J$654))/(MAX(J$5:J$654)-MIN(J$5:J$654)))</f>
        <v>0.253267973856209</v>
      </c>
      <c r="L207" s="10" t="str">
        <f aca="false">IF(K207=0,"Very Low",IF(K207&gt;=0.6,"Very High",IF(K207&gt;=0.4,"High",IF(K207&gt;=0.2,"Moderate",IF(K207&gt;=0.1,"Low","Very Low")))))</f>
        <v>Moderate</v>
      </c>
    </row>
    <row r="208" customFormat="false" ht="15" hidden="false" customHeight="false" outlineLevel="0" collapsed="false">
      <c r="A208" s="4" t="n">
        <v>204</v>
      </c>
      <c r="B208" s="4" t="n">
        <v>166</v>
      </c>
      <c r="C208" s="5" t="s">
        <v>253</v>
      </c>
      <c r="D208" s="4" t="s">
        <v>40</v>
      </c>
      <c r="E208" s="4" t="s">
        <v>20</v>
      </c>
      <c r="F208" s="6" t="s">
        <v>27</v>
      </c>
      <c r="G208" s="7" t="n">
        <v>0.25</v>
      </c>
      <c r="H208" s="7" t="n">
        <v>0.84</v>
      </c>
      <c r="I208" s="7" t="n">
        <v>0.33</v>
      </c>
      <c r="J208" s="8" t="n">
        <f aca="false">IF(I208=0,0,(G208*H208)/I208)</f>
        <v>0.636363636363636</v>
      </c>
      <c r="K208" s="9" t="n">
        <f aca="false">IF(J208=0,0,(J208-MIN(J$5:J$654))/(MAX(J$5:J$654)-MIN(J$5:J$654)))</f>
        <v>0.252525252525253</v>
      </c>
      <c r="L208" s="10" t="str">
        <f aca="false">IF(K208=0,"Very Low",IF(K208&gt;=0.6,"Very High",IF(K208&gt;=0.4,"High",IF(K208&gt;=0.2,"Moderate",IF(K208&gt;=0.1,"Low","Very Low")))))</f>
        <v>Moderate</v>
      </c>
    </row>
    <row r="209" customFormat="false" ht="15" hidden="false" customHeight="false" outlineLevel="0" collapsed="false">
      <c r="A209" s="4" t="n">
        <v>205</v>
      </c>
      <c r="B209" s="4" t="n">
        <v>167</v>
      </c>
      <c r="C209" s="5" t="s">
        <v>254</v>
      </c>
      <c r="D209" s="4" t="s">
        <v>106</v>
      </c>
      <c r="E209" s="4" t="s">
        <v>87</v>
      </c>
      <c r="F209" s="6" t="s">
        <v>31</v>
      </c>
      <c r="G209" s="7" t="n">
        <v>0.41</v>
      </c>
      <c r="H209" s="7" t="n">
        <v>0.51</v>
      </c>
      <c r="I209" s="7" t="n">
        <v>0.44</v>
      </c>
      <c r="J209" s="8" t="n">
        <f aca="false">IF(I209=0,0,(G209*H209)/I209)</f>
        <v>0.475227272727273</v>
      </c>
      <c r="K209" s="9" t="n">
        <f aca="false">IF(J209=0,0,(J209-MIN(J$5:J$654))/(MAX(J$5:J$654)-MIN(J$5:J$654)))</f>
        <v>0.188582251082251</v>
      </c>
      <c r="L209" s="10" t="str">
        <f aca="false">IF(K209=0,"Very Low",IF(K209&gt;=0.6,"Very High",IF(K209&gt;=0.4,"High",IF(K209&gt;=0.2,"Moderate",IF(K209&gt;=0.1,"Low","Very Low")))))</f>
        <v>Low</v>
      </c>
    </row>
    <row r="210" customFormat="false" ht="15" hidden="false" customHeight="false" outlineLevel="0" collapsed="false">
      <c r="A210" s="4" t="n">
        <v>206</v>
      </c>
      <c r="B210" s="4" t="n">
        <v>168</v>
      </c>
      <c r="C210" s="5" t="s">
        <v>255</v>
      </c>
      <c r="D210" s="4" t="s">
        <v>256</v>
      </c>
      <c r="E210" s="4" t="s">
        <v>60</v>
      </c>
      <c r="F210" s="6" t="s">
        <v>17</v>
      </c>
      <c r="G210" s="7" t="n">
        <v>0.44</v>
      </c>
      <c r="H210" s="7" t="n">
        <v>0.63</v>
      </c>
      <c r="I210" s="7" t="n">
        <v>0.66</v>
      </c>
      <c r="J210" s="8" t="n">
        <f aca="false">IF(I210=0,0,(G210*H210)/I210)</f>
        <v>0.42</v>
      </c>
      <c r="K210" s="9" t="n">
        <f aca="false">IF(J210=0,0,(J210-MIN(J$5:J$654))/(MAX(J$5:J$654)-MIN(J$5:J$654)))</f>
        <v>0.166666666666667</v>
      </c>
      <c r="L210" s="10" t="str">
        <f aca="false">IF(K210=0,"Very Low",IF(K210&gt;=0.6,"Very High",IF(K210&gt;=0.4,"High",IF(K210&gt;=0.2,"Moderate",IF(K210&gt;=0.1,"Low","Very Low")))))</f>
        <v>Low</v>
      </c>
    </row>
    <row r="211" customFormat="false" ht="15" hidden="false" customHeight="false" outlineLevel="0" collapsed="false">
      <c r="A211" s="4" t="n">
        <v>207</v>
      </c>
      <c r="B211" s="4" t="n">
        <v>169</v>
      </c>
      <c r="C211" s="5" t="s">
        <v>257</v>
      </c>
      <c r="D211" s="4" t="s">
        <v>59</v>
      </c>
      <c r="E211" s="4" t="s">
        <v>60</v>
      </c>
      <c r="F211" s="6" t="s">
        <v>31</v>
      </c>
      <c r="G211" s="7" t="n">
        <v>0.41</v>
      </c>
      <c r="H211" s="7" t="n">
        <v>0.43</v>
      </c>
      <c r="I211" s="7" t="n">
        <v>0.38</v>
      </c>
      <c r="J211" s="8" t="n">
        <f aca="false">IF(I211=0,0,(G211*H211)/I211)</f>
        <v>0.463947368421053</v>
      </c>
      <c r="K211" s="9" t="n">
        <f aca="false">IF(J211=0,0,(J211-MIN(J$5:J$654))/(MAX(J$5:J$654)-MIN(J$5:J$654)))</f>
        <v>0.184106098579783</v>
      </c>
      <c r="L211" s="10" t="str">
        <f aca="false">IF(K211=0,"Very Low",IF(K211&gt;=0.6,"Very High",IF(K211&gt;=0.4,"High",IF(K211&gt;=0.2,"Moderate",IF(K211&gt;=0.1,"Low","Very Low")))))</f>
        <v>Low</v>
      </c>
    </row>
    <row r="212" customFormat="false" ht="15" hidden="false" customHeight="false" outlineLevel="0" collapsed="false">
      <c r="A212" s="4" t="n">
        <v>208</v>
      </c>
      <c r="B212" s="4" t="n">
        <v>169</v>
      </c>
      <c r="C212" s="5" t="s">
        <v>258</v>
      </c>
      <c r="D212" s="4" t="s">
        <v>44</v>
      </c>
      <c r="E212" s="4" t="s">
        <v>30</v>
      </c>
      <c r="F212" s="6" t="s">
        <v>31</v>
      </c>
      <c r="G212" s="7" t="n">
        <v>0.41</v>
      </c>
      <c r="H212" s="7" t="n">
        <v>0.43</v>
      </c>
      <c r="I212" s="7" t="n">
        <v>0.38</v>
      </c>
      <c r="J212" s="8" t="n">
        <f aca="false">IF(I212=0,0,(G212*H212)/I212)</f>
        <v>0.463947368421053</v>
      </c>
      <c r="K212" s="9" t="n">
        <f aca="false">IF(J212=0,0,(J212-MIN(J$5:J$654))/(MAX(J$5:J$654)-MIN(J$5:J$654)))</f>
        <v>0.184106098579783</v>
      </c>
      <c r="L212" s="10" t="str">
        <f aca="false">IF(K212=0,"Very Low",IF(K212&gt;=0.6,"Very High",IF(K212&gt;=0.4,"High",IF(K212&gt;=0.2,"Moderate",IF(K212&gt;=0.1,"Low","Very Low")))))</f>
        <v>Low</v>
      </c>
    </row>
    <row r="213" customFormat="false" ht="15" hidden="false" customHeight="false" outlineLevel="0" collapsed="false">
      <c r="A213" s="4" t="n">
        <v>209</v>
      </c>
      <c r="B213" s="4" t="n">
        <v>170</v>
      </c>
      <c r="C213" s="5" t="s">
        <v>259</v>
      </c>
      <c r="D213" s="4" t="s">
        <v>106</v>
      </c>
      <c r="E213" s="4" t="s">
        <v>87</v>
      </c>
      <c r="F213" s="6" t="s">
        <v>31</v>
      </c>
      <c r="G213" s="7" t="n">
        <v>0.68</v>
      </c>
      <c r="H213" s="7" t="n">
        <v>0.31</v>
      </c>
      <c r="I213" s="7" t="n">
        <v>0.46</v>
      </c>
      <c r="J213" s="8" t="n">
        <f aca="false">IF(I213=0,0,(G213*H213)/I213)</f>
        <v>0.458260869565217</v>
      </c>
      <c r="K213" s="9" t="n">
        <f aca="false">IF(J213=0,0,(J213-MIN(J$5:J$654))/(MAX(J$5:J$654)-MIN(J$5:J$654)))</f>
        <v>0.181849551414769</v>
      </c>
      <c r="L213" s="10" t="str">
        <f aca="false">IF(K213=0,"Very Low",IF(K213&gt;=0.6,"Very High",IF(K213&gt;=0.4,"High",IF(K213&gt;=0.2,"Moderate",IF(K213&gt;=0.1,"Low","Very Low")))))</f>
        <v>Low</v>
      </c>
    </row>
    <row r="214" customFormat="false" ht="15" hidden="false" customHeight="false" outlineLevel="0" collapsed="false">
      <c r="A214" s="4" t="n">
        <v>210</v>
      </c>
      <c r="B214" s="4" t="n">
        <v>170</v>
      </c>
      <c r="C214" s="5" t="s">
        <v>260</v>
      </c>
      <c r="D214" s="4" t="s">
        <v>260</v>
      </c>
      <c r="E214" s="4" t="s">
        <v>24</v>
      </c>
      <c r="F214" s="6" t="s">
        <v>17</v>
      </c>
      <c r="G214" s="7" t="n">
        <v>0.47</v>
      </c>
      <c r="H214" s="7" t="n">
        <v>0.36</v>
      </c>
      <c r="I214" s="7" t="n">
        <v>0.48</v>
      </c>
      <c r="J214" s="8" t="n">
        <f aca="false">IF(I214=0,0,(G214*H214)/I214)</f>
        <v>0.3525</v>
      </c>
      <c r="K214" s="9" t="n">
        <f aca="false">IF(J214=0,0,(J214-MIN(J$5:J$654))/(MAX(J$5:J$654)-MIN(J$5:J$654)))</f>
        <v>0.139880952380952</v>
      </c>
      <c r="L214" s="10" t="str">
        <f aca="false">IF(K214=0,"Very Low",IF(K214&gt;=0.6,"Very High",IF(K214&gt;=0.4,"High",IF(K214&gt;=0.2,"Moderate",IF(K214&gt;=0.1,"Low","Very Low")))))</f>
        <v>Low</v>
      </c>
    </row>
    <row r="215" customFormat="false" ht="15" hidden="false" customHeight="false" outlineLevel="0" collapsed="false">
      <c r="A215" s="4" t="n">
        <v>211</v>
      </c>
      <c r="B215" s="4" t="n">
        <v>171</v>
      </c>
      <c r="C215" s="5" t="s">
        <v>261</v>
      </c>
      <c r="D215" s="4" t="s">
        <v>59</v>
      </c>
      <c r="E215" s="4" t="s">
        <v>60</v>
      </c>
      <c r="F215" s="6" t="s">
        <v>31</v>
      </c>
      <c r="G215" s="7" t="n">
        <v>0.68</v>
      </c>
      <c r="H215" s="7" t="n">
        <v>0.24</v>
      </c>
      <c r="I215" s="7" t="n">
        <v>0.36</v>
      </c>
      <c r="J215" s="8" t="n">
        <f aca="false">IF(I215=0,0,(G215*H215)/I215)</f>
        <v>0.453333333333333</v>
      </c>
      <c r="K215" s="9" t="n">
        <f aca="false">IF(J215=0,0,(J215-MIN(J$5:J$654))/(MAX(J$5:J$654)-MIN(J$5:J$654)))</f>
        <v>0.17989417989418</v>
      </c>
      <c r="L215" s="10" t="str">
        <f aca="false">IF(K215=0,"Very Low",IF(K215&gt;=0.6,"Very High",IF(K215&gt;=0.4,"High",IF(K215&gt;=0.2,"Moderate",IF(K215&gt;=0.1,"Low","Very Low")))))</f>
        <v>Low</v>
      </c>
    </row>
    <row r="216" customFormat="false" ht="15" hidden="false" customHeight="false" outlineLevel="0" collapsed="false">
      <c r="A216" s="4" t="n">
        <v>212</v>
      </c>
      <c r="B216" s="4" t="n">
        <v>171</v>
      </c>
      <c r="C216" s="5" t="s">
        <v>262</v>
      </c>
      <c r="D216" s="4" t="s">
        <v>29</v>
      </c>
      <c r="E216" s="4" t="s">
        <v>30</v>
      </c>
      <c r="F216" s="6" t="s">
        <v>21</v>
      </c>
      <c r="G216" s="7" t="n">
        <v>0.17</v>
      </c>
      <c r="H216" s="7" t="n">
        <v>0.89</v>
      </c>
      <c r="I216" s="7" t="n">
        <v>0.37</v>
      </c>
      <c r="J216" s="8" t="n">
        <f aca="false">IF(I216=0,0,(G216*H216)/I216)</f>
        <v>0.408918918918919</v>
      </c>
      <c r="K216" s="9" t="n">
        <f aca="false">IF(J216=0,0,(J216-MIN(J$5:J$654))/(MAX(J$5:J$654)-MIN(J$5:J$654)))</f>
        <v>0.162269412269412</v>
      </c>
      <c r="L216" s="10" t="str">
        <f aca="false">IF(K216=0,"Very Low",IF(K216&gt;=0.6,"Very High",IF(K216&gt;=0.4,"High",IF(K216&gt;=0.2,"Moderate",IF(K216&gt;=0.1,"Low","Very Low")))))</f>
        <v>Low</v>
      </c>
    </row>
    <row r="217" customFormat="false" ht="15" hidden="false" customHeight="false" outlineLevel="0" collapsed="false">
      <c r="A217" s="4" t="n">
        <v>213</v>
      </c>
      <c r="B217" s="4" t="n">
        <v>172</v>
      </c>
      <c r="C217" s="5" t="s">
        <v>263</v>
      </c>
      <c r="D217" s="4" t="s">
        <v>59</v>
      </c>
      <c r="E217" s="4" t="s">
        <v>60</v>
      </c>
      <c r="F217" s="6" t="s">
        <v>31</v>
      </c>
      <c r="G217" s="7" t="n">
        <v>0.41</v>
      </c>
      <c r="H217" s="7" t="n">
        <v>0.43</v>
      </c>
      <c r="I217" s="7" t="n">
        <v>0.39</v>
      </c>
      <c r="J217" s="8" t="n">
        <f aca="false">IF(I217=0,0,(G217*H217)/I217)</f>
        <v>0.452051282051282</v>
      </c>
      <c r="K217" s="9" t="n">
        <f aca="false">IF(J217=0,0,(J217-MIN(J$5:J$654))/(MAX(J$5:J$654)-MIN(J$5:J$654)))</f>
        <v>0.179385429385429</v>
      </c>
      <c r="L217" s="10" t="str">
        <f aca="false">IF(K217=0,"Very Low",IF(K217&gt;=0.6,"Very High",IF(K217&gt;=0.4,"High",IF(K217&gt;=0.2,"Moderate",IF(K217&gt;=0.1,"Low","Very Low")))))</f>
        <v>Low</v>
      </c>
    </row>
    <row r="218" customFormat="false" ht="15" hidden="false" customHeight="false" outlineLevel="0" collapsed="false">
      <c r="A218" s="4" t="n">
        <v>214</v>
      </c>
      <c r="B218" s="4" t="n">
        <v>173</v>
      </c>
      <c r="C218" s="5" t="s">
        <v>264</v>
      </c>
      <c r="D218" s="4" t="s">
        <v>95</v>
      </c>
      <c r="E218" s="4" t="s">
        <v>20</v>
      </c>
      <c r="F218" s="6" t="s">
        <v>17</v>
      </c>
      <c r="G218" s="7" t="n">
        <v>0.47</v>
      </c>
      <c r="H218" s="7" t="n">
        <v>0.86</v>
      </c>
      <c r="I218" s="7" t="n">
        <v>0.47</v>
      </c>
      <c r="J218" s="8" t="n">
        <f aca="false">IF(I218=0,0,(G218*H218)/I218)</f>
        <v>0.86</v>
      </c>
      <c r="K218" s="9" t="n">
        <f aca="false">IF(J218=0,0,(J218-MIN(J$5:J$654))/(MAX(J$5:J$654)-MIN(J$5:J$654)))</f>
        <v>0.341269841269841</v>
      </c>
      <c r="L218" s="10" t="str">
        <f aca="false">IF(K218=0,"Very Low",IF(K218&gt;=0.6,"Very High",IF(K218&gt;=0.4,"High",IF(K218&gt;=0.2,"Moderate",IF(K218&gt;=0.1,"Low","Very Low")))))</f>
        <v>Moderate</v>
      </c>
    </row>
    <row r="219" customFormat="false" ht="15" hidden="false" customHeight="false" outlineLevel="0" collapsed="false">
      <c r="A219" s="4" t="n">
        <v>215</v>
      </c>
      <c r="B219" s="4" t="n">
        <v>174</v>
      </c>
      <c r="C219" s="5" t="s">
        <v>265</v>
      </c>
      <c r="D219" s="4" t="s">
        <v>199</v>
      </c>
      <c r="E219" s="4" t="s">
        <v>16</v>
      </c>
      <c r="F219" s="6" t="s">
        <v>17</v>
      </c>
      <c r="G219" s="7" t="n">
        <v>0.47</v>
      </c>
      <c r="H219" s="7" t="n">
        <v>0.42</v>
      </c>
      <c r="I219" s="7" t="n">
        <v>0.53</v>
      </c>
      <c r="J219" s="8" t="n">
        <f aca="false">IF(I219=0,0,(G219*H219)/I219)</f>
        <v>0.372452830188679</v>
      </c>
      <c r="K219" s="9" t="n">
        <f aca="false">IF(J219=0,0,(J219-MIN(J$5:J$654))/(MAX(J$5:J$654)-MIN(J$5:J$654)))</f>
        <v>0.147798742138365</v>
      </c>
      <c r="L219" s="10" t="str">
        <f aca="false">IF(K219=0,"Very Low",IF(K219&gt;=0.6,"Very High",IF(K219&gt;=0.4,"High",IF(K219&gt;=0.2,"Moderate",IF(K219&gt;=0.1,"Low","Very Low")))))</f>
        <v>Low</v>
      </c>
    </row>
    <row r="220" customFormat="false" ht="15" hidden="false" customHeight="false" outlineLevel="0" collapsed="false">
      <c r="A220" s="4" t="n">
        <v>216</v>
      </c>
      <c r="B220" s="4" t="n">
        <v>175</v>
      </c>
      <c r="C220" s="5" t="s">
        <v>266</v>
      </c>
      <c r="D220" s="4" t="s">
        <v>44</v>
      </c>
      <c r="E220" s="4" t="s">
        <v>30</v>
      </c>
      <c r="F220" s="6" t="s">
        <v>31</v>
      </c>
      <c r="G220" s="7" t="n">
        <v>0.76</v>
      </c>
      <c r="H220" s="7" t="n">
        <v>0.26</v>
      </c>
      <c r="I220" s="7" t="n">
        <v>0.45</v>
      </c>
      <c r="J220" s="8" t="n">
        <f aca="false">IF(I220=0,0,(G220*H220)/I220)</f>
        <v>0.439111111111111</v>
      </c>
      <c r="K220" s="9" t="n">
        <f aca="false">IF(J220=0,0,(J220-MIN(J$5:J$654))/(MAX(J$5:J$654)-MIN(J$5:J$654)))</f>
        <v>0.174250440917108</v>
      </c>
      <c r="L220" s="10" t="str">
        <f aca="false">IF(K220=0,"Very Low",IF(K220&gt;=0.6,"Very High",IF(K220&gt;=0.4,"High",IF(K220&gt;=0.2,"Moderate",IF(K220&gt;=0.1,"Low","Very Low")))))</f>
        <v>Low</v>
      </c>
    </row>
    <row r="221" customFormat="false" ht="15" hidden="false" customHeight="false" outlineLevel="0" collapsed="false">
      <c r="A221" s="4" t="n">
        <v>217</v>
      </c>
      <c r="B221" s="4" t="n">
        <v>175</v>
      </c>
      <c r="C221" s="5" t="s">
        <v>267</v>
      </c>
      <c r="D221" s="4" t="s">
        <v>36</v>
      </c>
      <c r="E221" s="4" t="s">
        <v>24</v>
      </c>
      <c r="F221" s="6" t="s">
        <v>31</v>
      </c>
      <c r="G221" s="7" t="n">
        <v>0.41</v>
      </c>
      <c r="H221" s="7" t="n">
        <v>0.45</v>
      </c>
      <c r="I221" s="7" t="n">
        <v>0.42</v>
      </c>
      <c r="J221" s="8" t="n">
        <f aca="false">IF(I221=0,0,(G221*H221)/I221)</f>
        <v>0.439285714285714</v>
      </c>
      <c r="K221" s="9" t="n">
        <f aca="false">IF(J221=0,0,(J221-MIN(J$5:J$654))/(MAX(J$5:J$654)-MIN(J$5:J$654)))</f>
        <v>0.174319727891156</v>
      </c>
      <c r="L221" s="10" t="str">
        <f aca="false">IF(K221=0,"Very Low",IF(K221&gt;=0.6,"Very High",IF(K221&gt;=0.4,"High",IF(K221&gt;=0.2,"Moderate",IF(K221&gt;=0.1,"Low","Very Low")))))</f>
        <v>Low</v>
      </c>
    </row>
    <row r="222" customFormat="false" ht="15" hidden="false" customHeight="false" outlineLevel="0" collapsed="false">
      <c r="A222" s="4" t="n">
        <v>218</v>
      </c>
      <c r="B222" s="4" t="n">
        <v>175</v>
      </c>
      <c r="C222" s="5" t="s">
        <v>268</v>
      </c>
      <c r="D222" s="4" t="s">
        <v>38</v>
      </c>
      <c r="E222" s="4" t="s">
        <v>16</v>
      </c>
      <c r="F222" s="6" t="s">
        <v>17</v>
      </c>
      <c r="G222" s="7" t="n">
        <v>0.59</v>
      </c>
      <c r="H222" s="7" t="n">
        <v>0.93</v>
      </c>
      <c r="I222" s="7" t="n">
        <v>0.53</v>
      </c>
      <c r="J222" s="8" t="n">
        <f aca="false">IF(I222=0,0,(G222*H222)/I222)</f>
        <v>1.03528301886792</v>
      </c>
      <c r="K222" s="9" t="n">
        <f aca="false">IF(J222=0,0,(J222-MIN(J$5:J$654))/(MAX(J$5:J$654)-MIN(J$5:J$654)))</f>
        <v>0.410826594788859</v>
      </c>
      <c r="L222" s="10" t="str">
        <f aca="false">IF(K222=0,"Very Low",IF(K222&gt;=0.6,"Very High",IF(K222&gt;=0.4,"High",IF(K222&gt;=0.2,"Moderate",IF(K222&gt;=0.1,"Low","Very Low")))))</f>
        <v>High</v>
      </c>
    </row>
    <row r="223" customFormat="false" ht="15" hidden="false" customHeight="false" outlineLevel="0" collapsed="false">
      <c r="A223" s="4" t="n">
        <v>219</v>
      </c>
      <c r="B223" s="4" t="n">
        <v>175</v>
      </c>
      <c r="C223" s="5" t="s">
        <v>269</v>
      </c>
      <c r="D223" s="4" t="s">
        <v>44</v>
      </c>
      <c r="E223" s="4" t="s">
        <v>30</v>
      </c>
      <c r="F223" s="6" t="s">
        <v>31</v>
      </c>
      <c r="G223" s="7" t="n">
        <v>0.96</v>
      </c>
      <c r="H223" s="7" t="n">
        <v>0.22</v>
      </c>
      <c r="I223" s="7" t="n">
        <v>0.48</v>
      </c>
      <c r="J223" s="8" t="n">
        <f aca="false">IF(I223=0,0,(G223*H223)/I223)</f>
        <v>0.44</v>
      </c>
      <c r="K223" s="9" t="n">
        <f aca="false">IF(J223=0,0,(J223-MIN(J$5:J$654))/(MAX(J$5:J$654)-MIN(J$5:J$654)))</f>
        <v>0.174603174603175</v>
      </c>
      <c r="L223" s="10" t="str">
        <f aca="false">IF(K223=0,"Very Low",IF(K223&gt;=0.6,"Very High",IF(K223&gt;=0.4,"High",IF(K223&gt;=0.2,"Moderate",IF(K223&gt;=0.1,"Low","Very Low")))))</f>
        <v>Low</v>
      </c>
    </row>
    <row r="224" customFormat="false" ht="15" hidden="false" customHeight="false" outlineLevel="0" collapsed="false">
      <c r="A224" s="4" t="n">
        <v>220</v>
      </c>
      <c r="B224" s="4" t="n">
        <v>176</v>
      </c>
      <c r="C224" s="5" t="s">
        <v>270</v>
      </c>
      <c r="D224" s="4" t="s">
        <v>59</v>
      </c>
      <c r="E224" s="4" t="s">
        <v>60</v>
      </c>
      <c r="F224" s="6" t="s">
        <v>31</v>
      </c>
      <c r="G224" s="7" t="n">
        <v>0.41</v>
      </c>
      <c r="H224" s="7" t="n">
        <v>0.34</v>
      </c>
      <c r="I224" s="7" t="n">
        <v>0.32</v>
      </c>
      <c r="J224" s="8" t="n">
        <f aca="false">IF(I224=0,0,(G224*H224)/I224)</f>
        <v>0.435625</v>
      </c>
      <c r="K224" s="9" t="n">
        <f aca="false">IF(J224=0,0,(J224-MIN(J$5:J$654))/(MAX(J$5:J$654)-MIN(J$5:J$654)))</f>
        <v>0.172867063492064</v>
      </c>
      <c r="L224" s="10" t="str">
        <f aca="false">IF(K224=0,"Very Low",IF(K224&gt;=0.6,"Very High",IF(K224&gt;=0.4,"High",IF(K224&gt;=0.2,"Moderate",IF(K224&gt;=0.1,"Low","Very Low")))))</f>
        <v>Low</v>
      </c>
    </row>
    <row r="225" customFormat="false" ht="15" hidden="false" customHeight="false" outlineLevel="0" collapsed="false">
      <c r="A225" s="4" t="n">
        <v>221</v>
      </c>
      <c r="B225" s="4" t="n">
        <v>177</v>
      </c>
      <c r="C225" s="5" t="s">
        <v>271</v>
      </c>
      <c r="D225" s="4" t="s">
        <v>162</v>
      </c>
      <c r="E225" s="4" t="s">
        <v>60</v>
      </c>
      <c r="F225" s="6" t="s">
        <v>17</v>
      </c>
      <c r="G225" s="7" t="n">
        <v>0.59</v>
      </c>
      <c r="H225" s="7" t="n">
        <v>0.94</v>
      </c>
      <c r="I225" s="7" t="n">
        <v>0.48</v>
      </c>
      <c r="J225" s="8" t="n">
        <f aca="false">IF(I225=0,0,(G225*H225)/I225)</f>
        <v>1.15541666666667</v>
      </c>
      <c r="K225" s="9" t="n">
        <f aca="false">IF(J225=0,0,(J225-MIN(J$5:J$654))/(MAX(J$5:J$654)-MIN(J$5:J$654)))</f>
        <v>0.458498677248677</v>
      </c>
      <c r="L225" s="10" t="str">
        <f aca="false">IF(K225=0,"Very Low",IF(K225&gt;=0.6,"Very High",IF(K225&gt;=0.4,"High",IF(K225&gt;=0.2,"Moderate",IF(K225&gt;=0.1,"Low","Very Low")))))</f>
        <v>High</v>
      </c>
    </row>
    <row r="226" customFormat="false" ht="15" hidden="false" customHeight="false" outlineLevel="0" collapsed="false">
      <c r="A226" s="4" t="n">
        <v>222</v>
      </c>
      <c r="B226" s="4" t="n">
        <v>178</v>
      </c>
      <c r="C226" s="5" t="s">
        <v>272</v>
      </c>
      <c r="D226" s="4" t="s">
        <v>36</v>
      </c>
      <c r="E226" s="4" t="s">
        <v>24</v>
      </c>
      <c r="F226" s="6" t="s">
        <v>25</v>
      </c>
      <c r="G226" s="7" t="n">
        <v>0.28</v>
      </c>
      <c r="H226" s="7" t="n">
        <v>0.8</v>
      </c>
      <c r="I226" s="7" t="n">
        <v>0.38</v>
      </c>
      <c r="J226" s="8" t="n">
        <f aca="false">IF(I226=0,0,(G226*H226)/I226)</f>
        <v>0.589473684210526</v>
      </c>
      <c r="K226" s="9" t="n">
        <f aca="false">IF(J226=0,0,(J226-MIN(J$5:J$654))/(MAX(J$5:J$654)-MIN(J$5:J$654)))</f>
        <v>0.233918128654971</v>
      </c>
      <c r="L226" s="10" t="str">
        <f aca="false">IF(K226=0,"Very Low",IF(K226&gt;=0.6,"Very High",IF(K226&gt;=0.4,"High",IF(K226&gt;=0.2,"Moderate",IF(K226&gt;=0.1,"Low","Very Low")))))</f>
        <v>Moderate</v>
      </c>
    </row>
    <row r="227" customFormat="false" ht="15" hidden="false" customHeight="false" outlineLevel="0" collapsed="false">
      <c r="A227" s="4" t="n">
        <v>223</v>
      </c>
      <c r="B227" s="4" t="n">
        <v>178</v>
      </c>
      <c r="C227" s="5" t="s">
        <v>273</v>
      </c>
      <c r="D227" s="4" t="s">
        <v>59</v>
      </c>
      <c r="E227" s="4" t="s">
        <v>60</v>
      </c>
      <c r="F227" s="6" t="s">
        <v>31</v>
      </c>
      <c r="G227" s="7" t="n">
        <v>0.41</v>
      </c>
      <c r="H227" s="7" t="n">
        <v>0.38</v>
      </c>
      <c r="I227" s="7" t="n">
        <v>0.36</v>
      </c>
      <c r="J227" s="8" t="n">
        <f aca="false">IF(I227=0,0,(G227*H227)/I227)</f>
        <v>0.432777777777778</v>
      </c>
      <c r="K227" s="9" t="n">
        <f aca="false">IF(J227=0,0,(J227-MIN(J$5:J$654))/(MAX(J$5:J$654)-MIN(J$5:J$654)))</f>
        <v>0.17173721340388</v>
      </c>
      <c r="L227" s="10" t="str">
        <f aca="false">IF(K227=0,"Very Low",IF(K227&gt;=0.6,"Very High",IF(K227&gt;=0.4,"High",IF(K227&gt;=0.2,"Moderate",IF(K227&gt;=0.1,"Low","Very Low")))))</f>
        <v>Low</v>
      </c>
    </row>
    <row r="228" customFormat="false" ht="15" hidden="false" customHeight="false" outlineLevel="0" collapsed="false">
      <c r="A228" s="4" t="n">
        <v>224</v>
      </c>
      <c r="B228" s="4" t="n">
        <v>179</v>
      </c>
      <c r="C228" s="5" t="s">
        <v>274</v>
      </c>
      <c r="D228" s="4" t="s">
        <v>59</v>
      </c>
      <c r="E228" s="4" t="s">
        <v>60</v>
      </c>
      <c r="F228" s="6" t="s">
        <v>25</v>
      </c>
      <c r="G228" s="7" t="n">
        <v>0.28</v>
      </c>
      <c r="H228" s="7" t="n">
        <v>0.73</v>
      </c>
      <c r="I228" s="7" t="n">
        <v>0.35</v>
      </c>
      <c r="J228" s="8" t="n">
        <f aca="false">IF(I228=0,0,(G228*H228)/I228)</f>
        <v>0.584</v>
      </c>
      <c r="K228" s="9" t="n">
        <f aca="false">IF(J228=0,0,(J228-MIN(J$5:J$654))/(MAX(J$5:J$654)-MIN(J$5:J$654)))</f>
        <v>0.231746031746032</v>
      </c>
      <c r="L228" s="10" t="str">
        <f aca="false">IF(K228=0,"Very Low",IF(K228&gt;=0.6,"Very High",IF(K228&gt;=0.4,"High",IF(K228&gt;=0.2,"Moderate",IF(K228&gt;=0.1,"Low","Very Low")))))</f>
        <v>Moderate</v>
      </c>
    </row>
    <row r="229" customFormat="false" ht="15" hidden="false" customHeight="false" outlineLevel="0" collapsed="false">
      <c r="A229" s="4" t="n">
        <v>225</v>
      </c>
      <c r="B229" s="4" t="n">
        <v>181</v>
      </c>
      <c r="C229" s="5" t="s">
        <v>275</v>
      </c>
      <c r="D229" s="4" t="s">
        <v>106</v>
      </c>
      <c r="E229" s="4" t="s">
        <v>87</v>
      </c>
      <c r="F229" s="6" t="s">
        <v>31</v>
      </c>
      <c r="G229" s="7" t="n">
        <v>0.41</v>
      </c>
      <c r="H229" s="7" t="n">
        <v>0.49</v>
      </c>
      <c r="I229" s="7" t="n">
        <v>0.47</v>
      </c>
      <c r="J229" s="8" t="n">
        <f aca="false">IF(I229=0,0,(G229*H229)/I229)</f>
        <v>0.427446808510638</v>
      </c>
      <c r="K229" s="9" t="n">
        <f aca="false">IF(J229=0,0,(J229-MIN(J$5:J$654))/(MAX(J$5:J$654)-MIN(J$5:J$654)))</f>
        <v>0.169621749408983</v>
      </c>
      <c r="L229" s="10" t="str">
        <f aca="false">IF(K229=0,"Very Low",IF(K229&gt;=0.6,"Very High",IF(K229&gt;=0.4,"High",IF(K229&gt;=0.2,"Moderate",IF(K229&gt;=0.1,"Low","Very Low")))))</f>
        <v>Low</v>
      </c>
    </row>
    <row r="230" customFormat="false" ht="15" hidden="false" customHeight="false" outlineLevel="0" collapsed="false">
      <c r="A230" s="4" t="n">
        <v>226</v>
      </c>
      <c r="B230" s="4" t="n">
        <v>182</v>
      </c>
      <c r="C230" s="5" t="s">
        <v>276</v>
      </c>
      <c r="D230" s="4" t="s">
        <v>29</v>
      </c>
      <c r="E230" s="4" t="s">
        <v>30</v>
      </c>
      <c r="F230" s="6" t="s">
        <v>31</v>
      </c>
      <c r="G230" s="7" t="n">
        <v>0.41</v>
      </c>
      <c r="H230" s="7" t="n">
        <v>0.52</v>
      </c>
      <c r="I230" s="7" t="n">
        <v>0.5</v>
      </c>
      <c r="J230" s="8" t="n">
        <f aca="false">IF(I230=0,0,(G230*H230)/I230)</f>
        <v>0.4264</v>
      </c>
      <c r="K230" s="9" t="n">
        <f aca="false">IF(J230=0,0,(J230-MIN(J$5:J$654))/(MAX(J$5:J$654)-MIN(J$5:J$654)))</f>
        <v>0.169206349206349</v>
      </c>
      <c r="L230" s="10" t="str">
        <f aca="false">IF(K230=0,"Very Low",IF(K230&gt;=0.6,"Very High",IF(K230&gt;=0.4,"High",IF(K230&gt;=0.2,"Moderate",IF(K230&gt;=0.1,"Low","Very Low")))))</f>
        <v>Low</v>
      </c>
    </row>
    <row r="231" customFormat="false" ht="15" hidden="false" customHeight="false" outlineLevel="0" collapsed="false">
      <c r="A231" s="4" t="n">
        <v>227</v>
      </c>
      <c r="B231" s="4" t="n">
        <v>183</v>
      </c>
      <c r="C231" s="5" t="s">
        <v>277</v>
      </c>
      <c r="D231" s="4" t="s">
        <v>108</v>
      </c>
      <c r="E231" s="4" t="s">
        <v>30</v>
      </c>
      <c r="F231" s="6" t="s">
        <v>17</v>
      </c>
      <c r="G231" s="7" t="n">
        <v>0.28</v>
      </c>
      <c r="H231" s="7" t="n">
        <v>0.28</v>
      </c>
      <c r="I231" s="7" t="n">
        <v>0.38</v>
      </c>
      <c r="J231" s="8" t="n">
        <f aca="false">IF(I231=0,0,(G231*H231)/I231)</f>
        <v>0.206315789473684</v>
      </c>
      <c r="K231" s="9" t="n">
        <f aca="false">IF(J231=0,0,(J231-MIN(J$5:J$654))/(MAX(J$5:J$654)-MIN(J$5:J$654)))</f>
        <v>0.0818713450292398</v>
      </c>
      <c r="L231" s="10" t="str">
        <f aca="false">IF(K231=0,"Very Low",IF(K231&gt;=0.6,"Very High",IF(K231&gt;=0.4,"High",IF(K231&gt;=0.2,"Moderate",IF(K231&gt;=0.1,"Low","Very Low")))))</f>
        <v>Very Low</v>
      </c>
    </row>
    <row r="232" customFormat="false" ht="15" hidden="false" customHeight="false" outlineLevel="0" collapsed="false">
      <c r="A232" s="4" t="n">
        <v>228</v>
      </c>
      <c r="B232" s="4" t="n">
        <v>183</v>
      </c>
      <c r="C232" s="5" t="s">
        <v>278</v>
      </c>
      <c r="D232" s="4" t="s">
        <v>279</v>
      </c>
      <c r="E232" s="4" t="s">
        <v>20</v>
      </c>
      <c r="F232" s="6" t="s">
        <v>31</v>
      </c>
      <c r="G232" s="7" t="n">
        <v>0.41</v>
      </c>
      <c r="H232" s="7" t="n">
        <v>0.36</v>
      </c>
      <c r="I232" s="7" t="n">
        <v>0.35</v>
      </c>
      <c r="J232" s="8" t="n">
        <f aca="false">IF(I232=0,0,(G232*H232)/I232)</f>
        <v>0.421714285714286</v>
      </c>
      <c r="K232" s="9" t="n">
        <f aca="false">IF(J232=0,0,(J232-MIN(J$5:J$654))/(MAX(J$5:J$654)-MIN(J$5:J$654)))</f>
        <v>0.16734693877551</v>
      </c>
      <c r="L232" s="10" t="str">
        <f aca="false">IF(K232=0,"Very Low",IF(K232&gt;=0.6,"Very High",IF(K232&gt;=0.4,"High",IF(K232&gt;=0.2,"Moderate",IF(K232&gt;=0.1,"Low","Very Low")))))</f>
        <v>Low</v>
      </c>
    </row>
    <row r="233" customFormat="false" ht="15" hidden="false" customHeight="false" outlineLevel="0" collapsed="false">
      <c r="A233" s="4" t="n">
        <v>229</v>
      </c>
      <c r="B233" s="4" t="n">
        <v>184</v>
      </c>
      <c r="C233" s="5" t="s">
        <v>280</v>
      </c>
      <c r="D233" s="4" t="s">
        <v>93</v>
      </c>
      <c r="E233" s="4" t="s">
        <v>24</v>
      </c>
      <c r="F233" s="6" t="s">
        <v>25</v>
      </c>
      <c r="G233" s="7" t="n">
        <v>0.57</v>
      </c>
      <c r="H233" s="7" t="n">
        <v>0.51</v>
      </c>
      <c r="I233" s="7" t="n">
        <v>0.51</v>
      </c>
      <c r="J233" s="8" t="n">
        <f aca="false">IF(I233=0,0,(G233*H233)/I233)</f>
        <v>0.57</v>
      </c>
      <c r="K233" s="9" t="n">
        <f aca="false">IF(J233=0,0,(J233-MIN(J$5:J$654))/(MAX(J$5:J$654)-MIN(J$5:J$654)))</f>
        <v>0.226190476190476</v>
      </c>
      <c r="L233" s="10" t="str">
        <f aca="false">IF(K233=0,"Very Low",IF(K233&gt;=0.6,"Very High",IF(K233&gt;=0.4,"High",IF(K233&gt;=0.2,"Moderate",IF(K233&gt;=0.1,"Low","Very Low")))))</f>
        <v>Moderate</v>
      </c>
    </row>
    <row r="234" customFormat="false" ht="15" hidden="false" customHeight="false" outlineLevel="0" collapsed="false">
      <c r="A234" s="4" t="n">
        <v>230</v>
      </c>
      <c r="B234" s="4" t="n">
        <v>184</v>
      </c>
      <c r="C234" s="5" t="s">
        <v>281</v>
      </c>
      <c r="D234" s="4" t="s">
        <v>106</v>
      </c>
      <c r="E234" s="4" t="s">
        <v>87</v>
      </c>
      <c r="F234" s="6" t="s">
        <v>31</v>
      </c>
      <c r="G234" s="7" t="n">
        <v>0.41</v>
      </c>
      <c r="H234" s="7" t="n">
        <v>0.5</v>
      </c>
      <c r="I234" s="7" t="n">
        <v>0.49</v>
      </c>
      <c r="J234" s="8" t="n">
        <f aca="false">IF(I234=0,0,(G234*H234)/I234)</f>
        <v>0.418367346938776</v>
      </c>
      <c r="K234" s="9" t="n">
        <f aca="false">IF(J234=0,0,(J234-MIN(J$5:J$654))/(MAX(J$5:J$654)-MIN(J$5:J$654)))</f>
        <v>0.166018788467768</v>
      </c>
      <c r="L234" s="10" t="str">
        <f aca="false">IF(K234=0,"Very Low",IF(K234&gt;=0.6,"Very High",IF(K234&gt;=0.4,"High",IF(K234&gt;=0.2,"Moderate",IF(K234&gt;=0.1,"Low","Very Low")))))</f>
        <v>Low</v>
      </c>
    </row>
    <row r="235" customFormat="false" ht="15" hidden="false" customHeight="false" outlineLevel="0" collapsed="false">
      <c r="A235" s="4" t="n">
        <v>231</v>
      </c>
      <c r="B235" s="4" t="n">
        <v>185</v>
      </c>
      <c r="C235" s="5" t="s">
        <v>282</v>
      </c>
      <c r="D235" s="4" t="s">
        <v>19</v>
      </c>
      <c r="E235" s="4" t="s">
        <v>20</v>
      </c>
      <c r="F235" s="6" t="s">
        <v>17</v>
      </c>
      <c r="G235" s="7" t="n">
        <v>0.28</v>
      </c>
      <c r="H235" s="7" t="n">
        <v>0.54</v>
      </c>
      <c r="I235" s="7" t="n">
        <v>0.37</v>
      </c>
      <c r="J235" s="8" t="n">
        <f aca="false">IF(I235=0,0,(G235*H235)/I235)</f>
        <v>0.408648648648649</v>
      </c>
      <c r="K235" s="9" t="n">
        <f aca="false">IF(J235=0,0,(J235-MIN(J$5:J$654))/(MAX(J$5:J$654)-MIN(J$5:J$654)))</f>
        <v>0.162162162162162</v>
      </c>
      <c r="L235" s="10" t="str">
        <f aca="false">IF(K235=0,"Very Low",IF(K235&gt;=0.6,"Very High",IF(K235&gt;=0.4,"High",IF(K235&gt;=0.2,"Moderate",IF(K235&gt;=0.1,"Low","Very Low")))))</f>
        <v>Low</v>
      </c>
    </row>
    <row r="236" customFormat="false" ht="15" hidden="false" customHeight="false" outlineLevel="0" collapsed="false">
      <c r="A236" s="4" t="n">
        <v>232</v>
      </c>
      <c r="B236" s="4" t="n">
        <v>185</v>
      </c>
      <c r="C236" s="5" t="s">
        <v>283</v>
      </c>
      <c r="D236" s="4" t="s">
        <v>23</v>
      </c>
      <c r="E236" s="4" t="s">
        <v>24</v>
      </c>
      <c r="F236" s="6" t="s">
        <v>25</v>
      </c>
      <c r="G236" s="7" t="n">
        <v>0.28</v>
      </c>
      <c r="H236" s="7" t="n">
        <v>0.69</v>
      </c>
      <c r="I236" s="7" t="n">
        <v>0.34</v>
      </c>
      <c r="J236" s="8" t="n">
        <f aca="false">IF(I236=0,0,(G236*H236)/I236)</f>
        <v>0.568235294117647</v>
      </c>
      <c r="K236" s="9" t="n">
        <f aca="false">IF(J236=0,0,(J236-MIN(J$5:J$654))/(MAX(J$5:J$654)-MIN(J$5:J$654)))</f>
        <v>0.225490196078431</v>
      </c>
      <c r="L236" s="10" t="str">
        <f aca="false">IF(K236=0,"Very Low",IF(K236&gt;=0.6,"Very High",IF(K236&gt;=0.4,"High",IF(K236&gt;=0.2,"Moderate",IF(K236&gt;=0.1,"Low","Very Low")))))</f>
        <v>Moderate</v>
      </c>
    </row>
    <row r="237" customFormat="false" ht="15" hidden="false" customHeight="false" outlineLevel="0" collapsed="false">
      <c r="A237" s="4" t="n">
        <v>233</v>
      </c>
      <c r="B237" s="4" t="n">
        <v>186</v>
      </c>
      <c r="C237" s="5" t="s">
        <v>284</v>
      </c>
      <c r="D237" s="4" t="s">
        <v>83</v>
      </c>
      <c r="E237" s="4" t="s">
        <v>24</v>
      </c>
      <c r="F237" s="6" t="s">
        <v>27</v>
      </c>
      <c r="G237" s="7" t="n">
        <v>0.25</v>
      </c>
      <c r="H237" s="7" t="n">
        <v>1</v>
      </c>
      <c r="I237" s="7" t="n">
        <v>0.45</v>
      </c>
      <c r="J237" s="8" t="n">
        <f aca="false">IF(I237=0,0,(G237*H237)/I237)</f>
        <v>0.555555555555556</v>
      </c>
      <c r="K237" s="9" t="n">
        <f aca="false">IF(J237=0,0,(J237-MIN(J$5:J$654))/(MAX(J$5:J$654)-MIN(J$5:J$654)))</f>
        <v>0.220458553791887</v>
      </c>
      <c r="L237" s="10" t="str">
        <f aca="false">IF(K237=0,"Very Low",IF(K237&gt;=0.6,"Very High",IF(K237&gt;=0.4,"High",IF(K237&gt;=0.2,"Moderate",IF(K237&gt;=0.1,"Low","Very Low")))))</f>
        <v>Moderate</v>
      </c>
    </row>
    <row r="238" customFormat="false" ht="15" hidden="false" customHeight="false" outlineLevel="0" collapsed="false">
      <c r="A238" s="4" t="n">
        <v>234</v>
      </c>
      <c r="B238" s="4" t="n">
        <v>187</v>
      </c>
      <c r="C238" s="5" t="s">
        <v>285</v>
      </c>
      <c r="D238" s="4" t="s">
        <v>59</v>
      </c>
      <c r="E238" s="4" t="s">
        <v>60</v>
      </c>
      <c r="F238" s="6" t="s">
        <v>17</v>
      </c>
      <c r="G238" s="7" t="n">
        <v>0.28</v>
      </c>
      <c r="H238" s="7" t="n">
        <v>0.91</v>
      </c>
      <c r="I238" s="7" t="n">
        <v>0.41</v>
      </c>
      <c r="J238" s="8" t="n">
        <f aca="false">IF(I238=0,0,(G238*H238)/I238)</f>
        <v>0.621463414634146</v>
      </c>
      <c r="K238" s="9" t="n">
        <f aca="false">IF(J238=0,0,(J238-MIN(J$5:J$654))/(MAX(J$5:J$654)-MIN(J$5:J$654)))</f>
        <v>0.246612466124661</v>
      </c>
      <c r="L238" s="10" t="str">
        <f aca="false">IF(K238=0,"Very Low",IF(K238&gt;=0.6,"Very High",IF(K238&gt;=0.4,"High",IF(K238&gt;=0.2,"Moderate",IF(K238&gt;=0.1,"Low","Very Low")))))</f>
        <v>Moderate</v>
      </c>
    </row>
    <row r="239" customFormat="false" ht="15" hidden="false" customHeight="false" outlineLevel="0" collapsed="false">
      <c r="A239" s="4" t="n">
        <v>235</v>
      </c>
      <c r="B239" s="4" t="n">
        <v>187</v>
      </c>
      <c r="C239" s="5" t="s">
        <v>286</v>
      </c>
      <c r="D239" s="4" t="s">
        <v>86</v>
      </c>
      <c r="E239" s="4" t="s">
        <v>87</v>
      </c>
      <c r="F239" s="6" t="s">
        <v>31</v>
      </c>
      <c r="G239" s="7" t="n">
        <v>0.41</v>
      </c>
      <c r="H239" s="7" t="n">
        <v>0.49</v>
      </c>
      <c r="I239" s="7" t="n">
        <v>0.49</v>
      </c>
      <c r="J239" s="8" t="n">
        <f aca="false">IF(I239=0,0,(G239*H239)/I239)</f>
        <v>0.41</v>
      </c>
      <c r="K239" s="9" t="n">
        <f aca="false">IF(J239=0,0,(J239-MIN(J$5:J$654))/(MAX(J$5:J$654)-MIN(J$5:J$654)))</f>
        <v>0.162698412698413</v>
      </c>
      <c r="L239" s="10" t="str">
        <f aca="false">IF(K239=0,"Very Low",IF(K239&gt;=0.6,"Very High",IF(K239&gt;=0.4,"High",IF(K239&gt;=0.2,"Moderate",IF(K239&gt;=0.1,"Low","Very Low")))))</f>
        <v>Low</v>
      </c>
    </row>
    <row r="240" customFormat="false" ht="15" hidden="false" customHeight="false" outlineLevel="0" collapsed="false">
      <c r="A240" s="4" t="n">
        <v>236</v>
      </c>
      <c r="B240" s="4" t="n">
        <v>188</v>
      </c>
      <c r="C240" s="5" t="s">
        <v>287</v>
      </c>
      <c r="D240" s="4" t="s">
        <v>59</v>
      </c>
      <c r="E240" s="4" t="s">
        <v>60</v>
      </c>
      <c r="F240" s="6" t="s">
        <v>25</v>
      </c>
      <c r="G240" s="7" t="n">
        <v>0.45</v>
      </c>
      <c r="H240" s="7" t="n">
        <v>0.68</v>
      </c>
      <c r="I240" s="7" t="n">
        <v>0.56</v>
      </c>
      <c r="J240" s="8" t="n">
        <f aca="false">IF(I240=0,0,(G240*H240)/I240)</f>
        <v>0.546428571428572</v>
      </c>
      <c r="K240" s="9" t="n">
        <f aca="false">IF(J240=0,0,(J240-MIN(J$5:J$654))/(MAX(J$5:J$654)-MIN(J$5:J$654)))</f>
        <v>0.216836734693878</v>
      </c>
      <c r="L240" s="10" t="str">
        <f aca="false">IF(K240=0,"Very Low",IF(K240&gt;=0.6,"Very High",IF(K240&gt;=0.4,"High",IF(K240&gt;=0.2,"Moderate",IF(K240&gt;=0.1,"Low","Very Low")))))</f>
        <v>Moderate</v>
      </c>
    </row>
    <row r="241" customFormat="false" ht="15" hidden="false" customHeight="false" outlineLevel="0" collapsed="false">
      <c r="A241" s="4" t="n">
        <v>237</v>
      </c>
      <c r="B241" s="4" t="n">
        <v>188</v>
      </c>
      <c r="C241" s="5" t="s">
        <v>288</v>
      </c>
      <c r="D241" s="4" t="s">
        <v>162</v>
      </c>
      <c r="E241" s="4" t="s">
        <v>60</v>
      </c>
      <c r="F241" s="6" t="s">
        <v>25</v>
      </c>
      <c r="G241" s="7" t="n">
        <v>0.45</v>
      </c>
      <c r="H241" s="7" t="n">
        <v>0.68</v>
      </c>
      <c r="I241" s="7" t="n">
        <v>0.56</v>
      </c>
      <c r="J241" s="8" t="n">
        <f aca="false">IF(I241=0,0,(G241*H241)/I241)</f>
        <v>0.546428571428572</v>
      </c>
      <c r="K241" s="9" t="n">
        <f aca="false">IF(J241=0,0,(J241-MIN(J$5:J$654))/(MAX(J$5:J$654)-MIN(J$5:J$654)))</f>
        <v>0.216836734693878</v>
      </c>
      <c r="L241" s="10" t="str">
        <f aca="false">IF(K241=0,"Very Low",IF(K241&gt;=0.6,"Very High",IF(K241&gt;=0.4,"High",IF(K241&gt;=0.2,"Moderate",IF(K241&gt;=0.1,"Low","Very Low")))))</f>
        <v>Moderate</v>
      </c>
    </row>
    <row r="242" customFormat="false" ht="15" hidden="false" customHeight="false" outlineLevel="0" collapsed="false">
      <c r="A242" s="4" t="n">
        <v>238</v>
      </c>
      <c r="B242" s="4" t="n">
        <v>188</v>
      </c>
      <c r="C242" s="5" t="s">
        <v>289</v>
      </c>
      <c r="D242" s="4" t="s">
        <v>59</v>
      </c>
      <c r="E242" s="4" t="s">
        <v>60</v>
      </c>
      <c r="F242" s="6" t="s">
        <v>31</v>
      </c>
      <c r="G242" s="7" t="n">
        <v>0.41</v>
      </c>
      <c r="H242" s="7" t="n">
        <v>0.44</v>
      </c>
      <c r="I242" s="7" t="n">
        <v>0.45</v>
      </c>
      <c r="J242" s="8" t="n">
        <f aca="false">IF(I242=0,0,(G242*H242)/I242)</f>
        <v>0.400888888888889</v>
      </c>
      <c r="K242" s="9" t="n">
        <f aca="false">IF(J242=0,0,(J242-MIN(J$5:J$654))/(MAX(J$5:J$654)-MIN(J$5:J$654)))</f>
        <v>0.159082892416226</v>
      </c>
      <c r="L242" s="10" t="str">
        <f aca="false">IF(K242=0,"Very Low",IF(K242&gt;=0.6,"Very High",IF(K242&gt;=0.4,"High",IF(K242&gt;=0.2,"Moderate",IF(K242&gt;=0.1,"Low","Very Low")))))</f>
        <v>Low</v>
      </c>
    </row>
    <row r="243" customFormat="false" ht="15" hidden="false" customHeight="false" outlineLevel="0" collapsed="false">
      <c r="A243" s="4" t="n">
        <v>239</v>
      </c>
      <c r="B243" s="4" t="n">
        <v>188</v>
      </c>
      <c r="C243" s="5" t="s">
        <v>290</v>
      </c>
      <c r="D243" s="4" t="s">
        <v>106</v>
      </c>
      <c r="E243" s="4" t="s">
        <v>87</v>
      </c>
      <c r="F243" s="6" t="s">
        <v>31</v>
      </c>
      <c r="G243" s="7" t="n">
        <v>0.41</v>
      </c>
      <c r="H243" s="7" t="n">
        <v>0.44</v>
      </c>
      <c r="I243" s="7" t="n">
        <v>0.45</v>
      </c>
      <c r="J243" s="8" t="n">
        <f aca="false">IF(I243=0,0,(G243*H243)/I243)</f>
        <v>0.400888888888889</v>
      </c>
      <c r="K243" s="9" t="n">
        <f aca="false">IF(J243=0,0,(J243-MIN(J$5:J$654))/(MAX(J$5:J$654)-MIN(J$5:J$654)))</f>
        <v>0.159082892416226</v>
      </c>
      <c r="L243" s="10" t="str">
        <f aca="false">IF(K243=0,"Very Low",IF(K243&gt;=0.6,"Very High",IF(K243&gt;=0.4,"High",IF(K243&gt;=0.2,"Moderate",IF(K243&gt;=0.1,"Low","Very Low")))))</f>
        <v>Low</v>
      </c>
    </row>
    <row r="244" customFormat="false" ht="15" hidden="false" customHeight="false" outlineLevel="0" collapsed="false">
      <c r="A244" s="4" t="n">
        <v>240</v>
      </c>
      <c r="B244" s="4" t="n">
        <v>189</v>
      </c>
      <c r="C244" s="5" t="s">
        <v>291</v>
      </c>
      <c r="D244" s="4" t="s">
        <v>59</v>
      </c>
      <c r="E244" s="4" t="s">
        <v>60</v>
      </c>
      <c r="F244" s="6" t="s">
        <v>25</v>
      </c>
      <c r="G244" s="7" t="n">
        <v>0.28</v>
      </c>
      <c r="H244" s="7" t="n">
        <v>0.68</v>
      </c>
      <c r="I244" s="7" t="n">
        <v>0.35</v>
      </c>
      <c r="J244" s="8" t="n">
        <f aca="false">IF(I244=0,0,(G244*H244)/I244)</f>
        <v>0.544</v>
      </c>
      <c r="K244" s="9" t="n">
        <f aca="false">IF(J244=0,0,(J244-MIN(J$5:J$654))/(MAX(J$5:J$654)-MIN(J$5:J$654)))</f>
        <v>0.215873015873016</v>
      </c>
      <c r="L244" s="10" t="str">
        <f aca="false">IF(K244=0,"Very Low",IF(K244&gt;=0.6,"Very High",IF(K244&gt;=0.4,"High",IF(K244&gt;=0.2,"Moderate",IF(K244&gt;=0.1,"Low","Very Low")))))</f>
        <v>Moderate</v>
      </c>
    </row>
    <row r="245" customFormat="false" ht="15" hidden="false" customHeight="false" outlineLevel="0" collapsed="false">
      <c r="A245" s="4" t="n">
        <v>241</v>
      </c>
      <c r="B245" s="4" t="n">
        <v>190</v>
      </c>
      <c r="C245" s="5" t="s">
        <v>292</v>
      </c>
      <c r="D245" s="4" t="s">
        <v>36</v>
      </c>
      <c r="E245" s="4" t="s">
        <v>24</v>
      </c>
      <c r="F245" s="6" t="s">
        <v>31</v>
      </c>
      <c r="G245" s="7" t="n">
        <v>0.41</v>
      </c>
      <c r="H245" s="7" t="n">
        <v>0.31</v>
      </c>
      <c r="I245" s="7" t="n">
        <v>0.32</v>
      </c>
      <c r="J245" s="8" t="n">
        <f aca="false">IF(I245=0,0,(G245*H245)/I245)</f>
        <v>0.3971875</v>
      </c>
      <c r="K245" s="9" t="n">
        <f aca="false">IF(J245=0,0,(J245-MIN(J$5:J$654))/(MAX(J$5:J$654)-MIN(J$5:J$654)))</f>
        <v>0.157614087301587</v>
      </c>
      <c r="L245" s="10" t="str">
        <f aca="false">IF(K245=0,"Very Low",IF(K245&gt;=0.6,"Very High",IF(K245&gt;=0.4,"High",IF(K245&gt;=0.2,"Moderate",IF(K245&gt;=0.1,"Low","Very Low")))))</f>
        <v>Low</v>
      </c>
    </row>
    <row r="246" customFormat="false" ht="15" hidden="false" customHeight="false" outlineLevel="0" collapsed="false">
      <c r="A246" s="4" t="n">
        <v>242</v>
      </c>
      <c r="B246" s="4" t="n">
        <v>190</v>
      </c>
      <c r="C246" s="5" t="s">
        <v>293</v>
      </c>
      <c r="D246" s="4" t="s">
        <v>93</v>
      </c>
      <c r="E246" s="4" t="s">
        <v>24</v>
      </c>
      <c r="F246" s="6" t="s">
        <v>25</v>
      </c>
      <c r="G246" s="7" t="n">
        <v>0.28</v>
      </c>
      <c r="H246" s="7" t="n">
        <v>0.89</v>
      </c>
      <c r="I246" s="7" t="n">
        <v>0.46</v>
      </c>
      <c r="J246" s="8" t="n">
        <f aca="false">IF(I246=0,0,(G246*H246)/I246)</f>
        <v>0.541739130434783</v>
      </c>
      <c r="K246" s="9" t="n">
        <f aca="false">IF(J246=0,0,(J246-MIN(J$5:J$654))/(MAX(J$5:J$654)-MIN(J$5:J$654)))</f>
        <v>0.214975845410628</v>
      </c>
      <c r="L246" s="10" t="str">
        <f aca="false">IF(K246=0,"Very Low",IF(K246&gt;=0.6,"Very High",IF(K246&gt;=0.4,"High",IF(K246&gt;=0.2,"Moderate",IF(K246&gt;=0.1,"Low","Very Low")))))</f>
        <v>Moderate</v>
      </c>
    </row>
    <row r="247" customFormat="false" ht="15" hidden="false" customHeight="false" outlineLevel="0" collapsed="false">
      <c r="A247" s="4" t="n">
        <v>243</v>
      </c>
      <c r="B247" s="4" t="n">
        <v>190</v>
      </c>
      <c r="C247" s="5" t="s">
        <v>294</v>
      </c>
      <c r="D247" s="4" t="s">
        <v>59</v>
      </c>
      <c r="E247" s="4" t="s">
        <v>60</v>
      </c>
      <c r="F247" s="6" t="s">
        <v>31</v>
      </c>
      <c r="G247" s="7" t="n">
        <v>0.41</v>
      </c>
      <c r="H247" s="7" t="n">
        <v>0.32</v>
      </c>
      <c r="I247" s="7" t="n">
        <v>0.33</v>
      </c>
      <c r="J247" s="8" t="n">
        <f aca="false">IF(I247=0,0,(G247*H247)/I247)</f>
        <v>0.397575757575758</v>
      </c>
      <c r="K247" s="9" t="n">
        <f aca="false">IF(J247=0,0,(J247-MIN(J$5:J$654))/(MAX(J$5:J$654)-MIN(J$5:J$654)))</f>
        <v>0.157768157768158</v>
      </c>
      <c r="L247" s="10" t="str">
        <f aca="false">IF(K247=0,"Very Low",IF(K247&gt;=0.6,"Very High",IF(K247&gt;=0.4,"High",IF(K247&gt;=0.2,"Moderate",IF(K247&gt;=0.1,"Low","Very Low")))))</f>
        <v>Low</v>
      </c>
    </row>
    <row r="248" customFormat="false" ht="15" hidden="false" customHeight="false" outlineLevel="0" collapsed="false">
      <c r="A248" s="4" t="n">
        <v>244</v>
      </c>
      <c r="B248" s="4" t="n">
        <v>191</v>
      </c>
      <c r="C248" s="5" t="s">
        <v>295</v>
      </c>
      <c r="D248" s="4" t="s">
        <v>29</v>
      </c>
      <c r="E248" s="4" t="s">
        <v>30</v>
      </c>
      <c r="F248" s="6" t="s">
        <v>31</v>
      </c>
      <c r="G248" s="7" t="n">
        <v>0.41</v>
      </c>
      <c r="H248" s="7" t="n">
        <v>0.5</v>
      </c>
      <c r="I248" s="7" t="n">
        <v>0.52</v>
      </c>
      <c r="J248" s="8" t="n">
        <f aca="false">IF(I248=0,0,(G248*H248)/I248)</f>
        <v>0.394230769230769</v>
      </c>
      <c r="K248" s="9" t="n">
        <f aca="false">IF(J248=0,0,(J248-MIN(J$5:J$654))/(MAX(J$5:J$654)-MIN(J$5:J$654)))</f>
        <v>0.156440781440781</v>
      </c>
      <c r="L248" s="10" t="str">
        <f aca="false">IF(K248=0,"Very Low",IF(K248&gt;=0.6,"Very High",IF(K248&gt;=0.4,"High",IF(K248&gt;=0.2,"Moderate",IF(K248&gt;=0.1,"Low","Very Low")))))</f>
        <v>Low</v>
      </c>
    </row>
    <row r="249" customFormat="false" ht="15" hidden="false" customHeight="false" outlineLevel="0" collapsed="false">
      <c r="A249" s="4" t="n">
        <v>245</v>
      </c>
      <c r="B249" s="4" t="n">
        <v>192</v>
      </c>
      <c r="C249" s="5" t="s">
        <v>296</v>
      </c>
      <c r="D249" s="4" t="s">
        <v>15</v>
      </c>
      <c r="E249" s="4" t="s">
        <v>16</v>
      </c>
      <c r="F249" s="6" t="s">
        <v>17</v>
      </c>
      <c r="G249" s="7" t="n">
        <v>0.28</v>
      </c>
      <c r="H249" s="7" t="n">
        <v>0.93</v>
      </c>
      <c r="I249" s="7" t="n">
        <v>0.39</v>
      </c>
      <c r="J249" s="8" t="n">
        <f aca="false">IF(I249=0,0,(G249*H249)/I249)</f>
        <v>0.667692307692308</v>
      </c>
      <c r="K249" s="9" t="n">
        <f aca="false">IF(J249=0,0,(J249-MIN(J$5:J$654))/(MAX(J$5:J$654)-MIN(J$5:J$654)))</f>
        <v>0.264957264957265</v>
      </c>
      <c r="L249" s="10" t="str">
        <f aca="false">IF(K249=0,"Very Low",IF(K249&gt;=0.6,"Very High",IF(K249&gt;=0.4,"High",IF(K249&gt;=0.2,"Moderate",IF(K249&gt;=0.1,"Low","Very Low")))))</f>
        <v>Moderate</v>
      </c>
    </row>
    <row r="250" customFormat="false" ht="15" hidden="false" customHeight="false" outlineLevel="0" collapsed="false">
      <c r="A250" s="4" t="n">
        <v>246</v>
      </c>
      <c r="B250" s="4" t="n">
        <v>193</v>
      </c>
      <c r="C250" s="5" t="s">
        <v>297</v>
      </c>
      <c r="D250" s="4" t="s">
        <v>279</v>
      </c>
      <c r="E250" s="4" t="s">
        <v>20</v>
      </c>
      <c r="F250" s="6" t="s">
        <v>31</v>
      </c>
      <c r="G250" s="7" t="n">
        <v>0.41</v>
      </c>
      <c r="H250" s="7" t="n">
        <v>0.33</v>
      </c>
      <c r="I250" s="7" t="n">
        <v>0.35</v>
      </c>
      <c r="J250" s="8" t="n">
        <f aca="false">IF(I250=0,0,(G250*H250)/I250)</f>
        <v>0.386571428571429</v>
      </c>
      <c r="K250" s="9" t="n">
        <f aca="false">IF(J250=0,0,(J250-MIN(J$5:J$654))/(MAX(J$5:J$654)-MIN(J$5:J$654)))</f>
        <v>0.153401360544218</v>
      </c>
      <c r="L250" s="10" t="str">
        <f aca="false">IF(K250=0,"Very Low",IF(K250&gt;=0.6,"Very High",IF(K250&gt;=0.4,"High",IF(K250&gt;=0.2,"Moderate",IF(K250&gt;=0.1,"Low","Very Low")))))</f>
        <v>Low</v>
      </c>
    </row>
    <row r="251" customFormat="false" ht="15" hidden="false" customHeight="false" outlineLevel="0" collapsed="false">
      <c r="A251" s="4" t="n">
        <v>247</v>
      </c>
      <c r="B251" s="4" t="n">
        <v>193</v>
      </c>
      <c r="C251" s="5" t="s">
        <v>298</v>
      </c>
      <c r="D251" s="4" t="s">
        <v>15</v>
      </c>
      <c r="E251" s="4" t="s">
        <v>16</v>
      </c>
      <c r="F251" s="6" t="s">
        <v>17</v>
      </c>
      <c r="G251" s="7" t="n">
        <v>0.28</v>
      </c>
      <c r="H251" s="7" t="n">
        <v>0.92</v>
      </c>
      <c r="I251" s="7" t="n">
        <v>0.42</v>
      </c>
      <c r="J251" s="8" t="n">
        <f aca="false">IF(I251=0,0,(G251*H251)/I251)</f>
        <v>0.613333333333334</v>
      </c>
      <c r="K251" s="9" t="n">
        <f aca="false">IF(J251=0,0,(J251-MIN(J$5:J$654))/(MAX(J$5:J$654)-MIN(J$5:J$654)))</f>
        <v>0.243386243386243</v>
      </c>
      <c r="L251" s="10" t="str">
        <f aca="false">IF(K251=0,"Very Low",IF(K251&gt;=0.6,"Very High",IF(K251&gt;=0.4,"High",IF(K251&gt;=0.2,"Moderate",IF(K251&gt;=0.1,"Low","Very Low")))))</f>
        <v>Moderate</v>
      </c>
    </row>
    <row r="252" customFormat="false" ht="15" hidden="false" customHeight="false" outlineLevel="0" collapsed="false">
      <c r="A252" s="4" t="n">
        <v>248</v>
      </c>
      <c r="B252" s="4" t="n">
        <v>194</v>
      </c>
      <c r="C252" s="5" t="s">
        <v>299</v>
      </c>
      <c r="D252" s="4" t="s">
        <v>59</v>
      </c>
      <c r="E252" s="4" t="s">
        <v>60</v>
      </c>
      <c r="F252" s="6" t="s">
        <v>31</v>
      </c>
      <c r="G252" s="7" t="n">
        <v>0.41</v>
      </c>
      <c r="H252" s="7" t="n">
        <v>0.43</v>
      </c>
      <c r="I252" s="7" t="n">
        <v>0.46</v>
      </c>
      <c r="J252" s="8" t="n">
        <f aca="false">IF(I252=0,0,(G252*H252)/I252)</f>
        <v>0.383260869565217</v>
      </c>
      <c r="K252" s="9" t="n">
        <f aca="false">IF(J252=0,0,(J252-MIN(J$5:J$654))/(MAX(J$5:J$654)-MIN(J$5:J$654)))</f>
        <v>0.152087646652864</v>
      </c>
      <c r="L252" s="10" t="str">
        <f aca="false">IF(K252=0,"Very Low",IF(K252&gt;=0.6,"Very High",IF(K252&gt;=0.4,"High",IF(K252&gt;=0.2,"Moderate",IF(K252&gt;=0.1,"Low","Very Low")))))</f>
        <v>Low</v>
      </c>
    </row>
    <row r="253" customFormat="false" ht="15" hidden="false" customHeight="false" outlineLevel="0" collapsed="false">
      <c r="A253" s="4" t="n">
        <v>249</v>
      </c>
      <c r="B253" s="4" t="n">
        <v>195</v>
      </c>
      <c r="C253" s="5" t="s">
        <v>300</v>
      </c>
      <c r="D253" s="4" t="s">
        <v>95</v>
      </c>
      <c r="E253" s="4" t="s">
        <v>20</v>
      </c>
      <c r="F253" s="6" t="s">
        <v>17</v>
      </c>
      <c r="G253" s="7" t="n">
        <v>0.28</v>
      </c>
      <c r="H253" s="7" t="n">
        <v>0.76</v>
      </c>
      <c r="I253" s="7" t="n">
        <v>0.58</v>
      </c>
      <c r="J253" s="8" t="n">
        <f aca="false">IF(I253=0,0,(G253*H253)/I253)</f>
        <v>0.366896551724138</v>
      </c>
      <c r="K253" s="9" t="n">
        <f aca="false">IF(J253=0,0,(J253-MIN(J$5:J$654))/(MAX(J$5:J$654)-MIN(J$5:J$654)))</f>
        <v>0.145593869731801</v>
      </c>
      <c r="L253" s="10" t="str">
        <f aca="false">IF(K253=0,"Very Low",IF(K253&gt;=0.6,"Very High",IF(K253&gt;=0.4,"High",IF(K253&gt;=0.2,"Moderate",IF(K253&gt;=0.1,"Low","Very Low")))))</f>
        <v>Low</v>
      </c>
    </row>
    <row r="254" customFormat="false" ht="15" hidden="false" customHeight="false" outlineLevel="0" collapsed="false">
      <c r="A254" s="4" t="n">
        <v>250</v>
      </c>
      <c r="B254" s="4" t="n">
        <v>196</v>
      </c>
      <c r="C254" s="5" t="s">
        <v>301</v>
      </c>
      <c r="D254" s="4" t="s">
        <v>29</v>
      </c>
      <c r="E254" s="4" t="s">
        <v>30</v>
      </c>
      <c r="F254" s="6" t="s">
        <v>31</v>
      </c>
      <c r="G254" s="7" t="n">
        <v>0.41</v>
      </c>
      <c r="H254" s="7" t="n">
        <v>0.42</v>
      </c>
      <c r="I254" s="7" t="n">
        <v>0.46</v>
      </c>
      <c r="J254" s="8" t="n">
        <f aca="false">IF(I254=0,0,(G254*H254)/I254)</f>
        <v>0.374347826086957</v>
      </c>
      <c r="K254" s="9" t="n">
        <f aca="false">IF(J254=0,0,(J254-MIN(J$5:J$654))/(MAX(J$5:J$654)-MIN(J$5:J$654)))</f>
        <v>0.148550724637681</v>
      </c>
      <c r="L254" s="10" t="str">
        <f aca="false">IF(K254=0,"Very Low",IF(K254&gt;=0.6,"Very High",IF(K254&gt;=0.4,"High",IF(K254&gt;=0.2,"Moderate",IF(K254&gt;=0.1,"Low","Very Low")))))</f>
        <v>Low</v>
      </c>
    </row>
    <row r="255" customFormat="false" ht="15" hidden="false" customHeight="false" outlineLevel="0" collapsed="false">
      <c r="A255" s="4" t="n">
        <v>251</v>
      </c>
      <c r="B255" s="4" t="n">
        <v>197</v>
      </c>
      <c r="C255" s="5" t="s">
        <v>302</v>
      </c>
      <c r="D255" s="4" t="s">
        <v>93</v>
      </c>
      <c r="E255" s="4" t="s">
        <v>24</v>
      </c>
      <c r="F255" s="6" t="s">
        <v>25</v>
      </c>
      <c r="G255" s="7" t="n">
        <v>0.45</v>
      </c>
      <c r="H255" s="7" t="n">
        <v>0.54</v>
      </c>
      <c r="I255" s="7" t="n">
        <v>0.49</v>
      </c>
      <c r="J255" s="8" t="n">
        <f aca="false">IF(I255=0,0,(G255*H255)/I255)</f>
        <v>0.495918367346939</v>
      </c>
      <c r="K255" s="9" t="n">
        <f aca="false">IF(J255=0,0,(J255-MIN(J$5:J$654))/(MAX(J$5:J$654)-MIN(J$5:J$654)))</f>
        <v>0.196793002915452</v>
      </c>
      <c r="L255" s="10" t="str">
        <f aca="false">IF(K255=0,"Very Low",IF(K255&gt;=0.6,"Very High",IF(K255&gt;=0.4,"High",IF(K255&gt;=0.2,"Moderate",IF(K255&gt;=0.1,"Low","Very Low")))))</f>
        <v>Low</v>
      </c>
    </row>
    <row r="256" customFormat="false" ht="15" hidden="false" customHeight="false" outlineLevel="0" collapsed="false">
      <c r="A256" s="4" t="n">
        <v>252</v>
      </c>
      <c r="B256" s="4" t="n">
        <v>198</v>
      </c>
      <c r="C256" s="5" t="s">
        <v>303</v>
      </c>
      <c r="D256" s="4" t="s">
        <v>36</v>
      </c>
      <c r="E256" s="4" t="s">
        <v>24</v>
      </c>
      <c r="F256" s="6" t="s">
        <v>31</v>
      </c>
      <c r="G256" s="7" t="n">
        <v>0.41</v>
      </c>
      <c r="H256" s="7" t="n">
        <v>0.28</v>
      </c>
      <c r="I256" s="7" t="n">
        <v>0.32</v>
      </c>
      <c r="J256" s="8" t="n">
        <f aca="false">IF(I256=0,0,(G256*H256)/I256)</f>
        <v>0.35875</v>
      </c>
      <c r="K256" s="9" t="n">
        <f aca="false">IF(J256=0,0,(J256-MIN(J$5:J$654))/(MAX(J$5:J$654)-MIN(J$5:J$654)))</f>
        <v>0.142361111111111</v>
      </c>
      <c r="L256" s="10" t="str">
        <f aca="false">IF(K256=0,"Very Low",IF(K256&gt;=0.6,"Very High",IF(K256&gt;=0.4,"High",IF(K256&gt;=0.2,"Moderate",IF(K256&gt;=0.1,"Low","Very Low")))))</f>
        <v>Low</v>
      </c>
    </row>
    <row r="257" customFormat="false" ht="15" hidden="false" customHeight="false" outlineLevel="0" collapsed="false">
      <c r="A257" s="4" t="n">
        <v>253</v>
      </c>
      <c r="B257" s="4" t="n">
        <v>198</v>
      </c>
      <c r="C257" s="5" t="s">
        <v>304</v>
      </c>
      <c r="D257" s="4" t="s">
        <v>106</v>
      </c>
      <c r="E257" s="4" t="s">
        <v>87</v>
      </c>
      <c r="F257" s="6" t="s">
        <v>31</v>
      </c>
      <c r="G257" s="7" t="n">
        <v>0.41</v>
      </c>
      <c r="H257" s="7" t="n">
        <v>0.43</v>
      </c>
      <c r="I257" s="7" t="n">
        <v>0.49</v>
      </c>
      <c r="J257" s="8" t="n">
        <f aca="false">IF(I257=0,0,(G257*H257)/I257)</f>
        <v>0.359795918367347</v>
      </c>
      <c r="K257" s="9" t="n">
        <f aca="false">IF(J257=0,0,(J257-MIN(J$5:J$654))/(MAX(J$5:J$654)-MIN(J$5:J$654)))</f>
        <v>0.142776158082281</v>
      </c>
      <c r="L257" s="10" t="str">
        <f aca="false">IF(K257=0,"Very Low",IF(K257&gt;=0.6,"Very High",IF(K257&gt;=0.4,"High",IF(K257&gt;=0.2,"Moderate",IF(K257&gt;=0.1,"Low","Very Low")))))</f>
        <v>Low</v>
      </c>
    </row>
    <row r="258" customFormat="false" ht="15" hidden="false" customHeight="false" outlineLevel="0" collapsed="false">
      <c r="A258" s="4" t="n">
        <v>254</v>
      </c>
      <c r="B258" s="4" t="n">
        <v>199</v>
      </c>
      <c r="C258" s="5" t="s">
        <v>305</v>
      </c>
      <c r="D258" s="4" t="s">
        <v>33</v>
      </c>
      <c r="E258" s="4" t="s">
        <v>24</v>
      </c>
      <c r="F258" s="6" t="s">
        <v>27</v>
      </c>
      <c r="G258" s="7" t="n">
        <v>0.75</v>
      </c>
      <c r="H258" s="7" t="n">
        <v>0.33</v>
      </c>
      <c r="I258" s="7" t="n">
        <v>0.52</v>
      </c>
      <c r="J258" s="8" t="n">
        <f aca="false">IF(I258=0,0,(G258*H258)/I258)</f>
        <v>0.475961538461538</v>
      </c>
      <c r="K258" s="9" t="n">
        <f aca="false">IF(J258=0,0,(J258-MIN(J$5:J$654))/(MAX(J$5:J$654)-MIN(J$5:J$654)))</f>
        <v>0.188873626373626</v>
      </c>
      <c r="L258" s="10" t="str">
        <f aca="false">IF(K258=0,"Very Low",IF(K258&gt;=0.6,"Very High",IF(K258&gt;=0.4,"High",IF(K258&gt;=0.2,"Moderate",IF(K258&gt;=0.1,"Low","Very Low")))))</f>
        <v>Low</v>
      </c>
    </row>
    <row r="259" customFormat="false" ht="15" hidden="false" customHeight="false" outlineLevel="0" collapsed="false">
      <c r="A259" s="4" t="n">
        <v>255</v>
      </c>
      <c r="B259" s="4" t="n">
        <v>199</v>
      </c>
      <c r="C259" s="5" t="s">
        <v>306</v>
      </c>
      <c r="D259" s="4" t="s">
        <v>59</v>
      </c>
      <c r="E259" s="4" t="s">
        <v>60</v>
      </c>
      <c r="F259" s="6" t="s">
        <v>31</v>
      </c>
      <c r="G259" s="7" t="n">
        <v>0.41</v>
      </c>
      <c r="H259" s="7" t="n">
        <v>0.26</v>
      </c>
      <c r="I259" s="7" t="n">
        <v>0.3</v>
      </c>
      <c r="J259" s="8" t="n">
        <f aca="false">IF(I259=0,0,(G259*H259)/I259)</f>
        <v>0.355333333333333</v>
      </c>
      <c r="K259" s="9" t="n">
        <f aca="false">IF(J259=0,0,(J259-MIN(J$5:J$654))/(MAX(J$5:J$654)-MIN(J$5:J$654)))</f>
        <v>0.141005291005291</v>
      </c>
      <c r="L259" s="10" t="str">
        <f aca="false">IF(K259=0,"Very Low",IF(K259&gt;=0.6,"Very High",IF(K259&gt;=0.4,"High",IF(K259&gt;=0.2,"Moderate",IF(K259&gt;=0.1,"Low","Very Low")))))</f>
        <v>Low</v>
      </c>
    </row>
    <row r="260" customFormat="false" ht="15" hidden="false" customHeight="false" outlineLevel="0" collapsed="false">
      <c r="A260" s="4" t="n">
        <v>256</v>
      </c>
      <c r="B260" s="4" t="n">
        <v>200</v>
      </c>
      <c r="C260" s="5" t="s">
        <v>307</v>
      </c>
      <c r="D260" s="4" t="s">
        <v>106</v>
      </c>
      <c r="E260" s="4" t="s">
        <v>87</v>
      </c>
      <c r="F260" s="6" t="s">
        <v>31</v>
      </c>
      <c r="G260" s="7" t="n">
        <v>0.41</v>
      </c>
      <c r="H260" s="7" t="n">
        <v>0.39</v>
      </c>
      <c r="I260" s="7" t="n">
        <v>0.46</v>
      </c>
      <c r="J260" s="8" t="n">
        <f aca="false">IF(I260=0,0,(G260*H260)/I260)</f>
        <v>0.347608695652174</v>
      </c>
      <c r="K260" s="9" t="n">
        <f aca="false">IF(J260=0,0,(J260-MIN(J$5:J$654))/(MAX(J$5:J$654)-MIN(J$5:J$654)))</f>
        <v>0.137939958592132</v>
      </c>
      <c r="L260" s="10" t="str">
        <f aca="false">IF(K260=0,"Very Low",IF(K260&gt;=0.6,"Very High",IF(K260&gt;=0.4,"High",IF(K260&gt;=0.2,"Moderate",IF(K260&gt;=0.1,"Low","Very Low")))))</f>
        <v>Low</v>
      </c>
    </row>
    <row r="261" customFormat="false" ht="15" hidden="false" customHeight="false" outlineLevel="0" collapsed="false">
      <c r="A261" s="4" t="n">
        <v>257</v>
      </c>
      <c r="B261" s="4" t="n">
        <v>200</v>
      </c>
      <c r="C261" s="5" t="s">
        <v>308</v>
      </c>
      <c r="D261" s="4" t="s">
        <v>279</v>
      </c>
      <c r="E261" s="4" t="s">
        <v>20</v>
      </c>
      <c r="F261" s="6" t="s">
        <v>31</v>
      </c>
      <c r="G261" s="7" t="n">
        <v>0.76</v>
      </c>
      <c r="H261" s="7" t="n">
        <v>0.21</v>
      </c>
      <c r="I261" s="7" t="n">
        <v>0.46</v>
      </c>
      <c r="J261" s="8" t="n">
        <f aca="false">IF(I261=0,0,(G261*H261)/I261)</f>
        <v>0.34695652173913</v>
      </c>
      <c r="K261" s="9" t="n">
        <f aca="false">IF(J261=0,0,(J261-MIN(J$5:J$654))/(MAX(J$5:J$654)-MIN(J$5:J$654)))</f>
        <v>0.13768115942029</v>
      </c>
      <c r="L261" s="10" t="str">
        <f aca="false">IF(K261=0,"Very Low",IF(K261&gt;=0.6,"Very High",IF(K261&gt;=0.4,"High",IF(K261&gt;=0.2,"Moderate",IF(K261&gt;=0.1,"Low","Very Low")))))</f>
        <v>Low</v>
      </c>
    </row>
    <row r="262" customFormat="false" ht="15" hidden="false" customHeight="false" outlineLevel="0" collapsed="false">
      <c r="A262" s="4" t="n">
        <v>258</v>
      </c>
      <c r="B262" s="4" t="n">
        <v>200</v>
      </c>
      <c r="C262" s="5" t="s">
        <v>309</v>
      </c>
      <c r="D262" s="4" t="s">
        <v>83</v>
      </c>
      <c r="E262" s="4" t="s">
        <v>24</v>
      </c>
      <c r="F262" s="6" t="s">
        <v>31</v>
      </c>
      <c r="G262" s="7" t="n">
        <v>0.93</v>
      </c>
      <c r="H262" s="7" t="n">
        <v>0.19</v>
      </c>
      <c r="I262" s="7" t="n">
        <v>0.51</v>
      </c>
      <c r="J262" s="8" t="n">
        <f aca="false">IF(I262=0,0,(G262*H262)/I262)</f>
        <v>0.346470588235294</v>
      </c>
      <c r="K262" s="9" t="n">
        <f aca="false">IF(J262=0,0,(J262-MIN(J$5:J$654))/(MAX(J$5:J$654)-MIN(J$5:J$654)))</f>
        <v>0.137488328664799</v>
      </c>
      <c r="L262" s="10" t="str">
        <f aca="false">IF(K262=0,"Very Low",IF(K262&gt;=0.6,"Very High",IF(K262&gt;=0.4,"High",IF(K262&gt;=0.2,"Moderate",IF(K262&gt;=0.1,"Low","Very Low")))))</f>
        <v>Low</v>
      </c>
    </row>
    <row r="263" customFormat="false" ht="15" hidden="false" customHeight="false" outlineLevel="0" collapsed="false">
      <c r="A263" s="4" t="n">
        <v>259</v>
      </c>
      <c r="B263" s="4" t="n">
        <v>201</v>
      </c>
      <c r="C263" s="5" t="s">
        <v>310</v>
      </c>
      <c r="D263" s="4" t="s">
        <v>79</v>
      </c>
      <c r="E263" s="4" t="s">
        <v>60</v>
      </c>
      <c r="F263" s="6" t="s">
        <v>17</v>
      </c>
      <c r="G263" s="7" t="n">
        <v>0.28</v>
      </c>
      <c r="H263" s="7" t="n">
        <v>0.97</v>
      </c>
      <c r="I263" s="7" t="n">
        <v>0.46</v>
      </c>
      <c r="J263" s="8" t="n">
        <f aca="false">IF(I263=0,0,(G263*H263)/I263)</f>
        <v>0.590434782608696</v>
      </c>
      <c r="K263" s="9" t="n">
        <f aca="false">IF(J263=0,0,(J263-MIN(J$5:J$654))/(MAX(J$5:J$654)-MIN(J$5:J$654)))</f>
        <v>0.234299516908213</v>
      </c>
      <c r="L263" s="10" t="str">
        <f aca="false">IF(K263=0,"Very Low",IF(K263&gt;=0.6,"Very High",IF(K263&gt;=0.4,"High",IF(K263&gt;=0.2,"Moderate",IF(K263&gt;=0.1,"Low","Very Low")))))</f>
        <v>Moderate</v>
      </c>
    </row>
    <row r="264" customFormat="false" ht="15" hidden="false" customHeight="false" outlineLevel="0" collapsed="false">
      <c r="A264" s="4" t="n">
        <v>260</v>
      </c>
      <c r="B264" s="4" t="n">
        <v>201</v>
      </c>
      <c r="C264" s="5" t="s">
        <v>311</v>
      </c>
      <c r="D264" s="4" t="s">
        <v>158</v>
      </c>
      <c r="E264" s="4" t="s">
        <v>16</v>
      </c>
      <c r="F264" s="6" t="s">
        <v>17</v>
      </c>
      <c r="G264" s="7" t="n">
        <v>0.28</v>
      </c>
      <c r="H264" s="7" t="n">
        <v>0.83</v>
      </c>
      <c r="I264" s="7" t="n">
        <v>0.43</v>
      </c>
      <c r="J264" s="8" t="n">
        <f aca="false">IF(I264=0,0,(G264*H264)/I264)</f>
        <v>0.54046511627907</v>
      </c>
      <c r="K264" s="9" t="n">
        <f aca="false">IF(J264=0,0,(J264-MIN(J$5:J$654))/(MAX(J$5:J$654)-MIN(J$5:J$654)))</f>
        <v>0.214470284237726</v>
      </c>
      <c r="L264" s="10" t="str">
        <f aca="false">IF(K264=0,"Very Low",IF(K264&gt;=0.6,"Very High",IF(K264&gt;=0.4,"High",IF(K264&gt;=0.2,"Moderate",IF(K264&gt;=0.1,"Low","Very Low")))))</f>
        <v>Moderate</v>
      </c>
    </row>
    <row r="265" customFormat="false" ht="15" hidden="false" customHeight="false" outlineLevel="0" collapsed="false">
      <c r="A265" s="4" t="n">
        <v>261</v>
      </c>
      <c r="B265" s="4" t="n">
        <v>201</v>
      </c>
      <c r="C265" s="5" t="s">
        <v>312</v>
      </c>
      <c r="D265" s="4" t="s">
        <v>106</v>
      </c>
      <c r="E265" s="4" t="s">
        <v>87</v>
      </c>
      <c r="F265" s="6" t="s">
        <v>25</v>
      </c>
      <c r="G265" s="7" t="n">
        <v>0.28</v>
      </c>
      <c r="H265" s="7" t="n">
        <v>0.85</v>
      </c>
      <c r="I265" s="7" t="n">
        <v>0.51</v>
      </c>
      <c r="J265" s="8" t="n">
        <f aca="false">IF(I265=0,0,(G265*H265)/I265)</f>
        <v>0.466666666666667</v>
      </c>
      <c r="K265" s="9" t="n">
        <f aca="false">IF(J265=0,0,(J265-MIN(J$5:J$654))/(MAX(J$5:J$654)-MIN(J$5:J$654)))</f>
        <v>0.185185185185185</v>
      </c>
      <c r="L265" s="10" t="str">
        <f aca="false">IF(K265=0,"Very Low",IF(K265&gt;=0.6,"Very High",IF(K265&gt;=0.4,"High",IF(K265&gt;=0.2,"Moderate",IF(K265&gt;=0.1,"Low","Very Low")))))</f>
        <v>Low</v>
      </c>
    </row>
    <row r="266" customFormat="false" ht="15" hidden="false" customHeight="false" outlineLevel="0" collapsed="false">
      <c r="A266" s="4" t="n">
        <v>262</v>
      </c>
      <c r="B266" s="4" t="n">
        <v>202</v>
      </c>
      <c r="C266" s="5" t="s">
        <v>313</v>
      </c>
      <c r="D266" s="4" t="s">
        <v>59</v>
      </c>
      <c r="E266" s="4" t="s">
        <v>60</v>
      </c>
      <c r="F266" s="6" t="s">
        <v>25</v>
      </c>
      <c r="G266" s="7" t="n">
        <v>0.28</v>
      </c>
      <c r="H266" s="7" t="n">
        <v>0.59</v>
      </c>
      <c r="I266" s="7" t="n">
        <v>0.36</v>
      </c>
      <c r="J266" s="8" t="n">
        <f aca="false">IF(I266=0,0,(G266*H266)/I266)</f>
        <v>0.458888888888889</v>
      </c>
      <c r="K266" s="9" t="n">
        <f aca="false">IF(J266=0,0,(J266-MIN(J$5:J$654))/(MAX(J$5:J$654)-MIN(J$5:J$654)))</f>
        <v>0.182098765432099</v>
      </c>
      <c r="L266" s="10" t="str">
        <f aca="false">IF(K266=0,"Very Low",IF(K266&gt;=0.6,"Very High",IF(K266&gt;=0.4,"High",IF(K266&gt;=0.2,"Moderate",IF(K266&gt;=0.1,"Low","Very Low")))))</f>
        <v>Low</v>
      </c>
    </row>
    <row r="267" customFormat="false" ht="15" hidden="false" customHeight="false" outlineLevel="0" collapsed="false">
      <c r="A267" s="4" t="n">
        <v>263</v>
      </c>
      <c r="B267" s="4" t="n">
        <v>202</v>
      </c>
      <c r="C267" s="5" t="s">
        <v>314</v>
      </c>
      <c r="D267" s="4" t="s">
        <v>40</v>
      </c>
      <c r="E267" s="4" t="s">
        <v>20</v>
      </c>
      <c r="F267" s="6" t="s">
        <v>25</v>
      </c>
      <c r="G267" s="7" t="n">
        <v>0.28</v>
      </c>
      <c r="H267" s="7" t="n">
        <v>0.54</v>
      </c>
      <c r="I267" s="7" t="n">
        <v>0.33</v>
      </c>
      <c r="J267" s="8" t="n">
        <f aca="false">IF(I267=0,0,(G267*H267)/I267)</f>
        <v>0.458181818181818</v>
      </c>
      <c r="K267" s="9" t="n">
        <f aca="false">IF(J267=0,0,(J267-MIN(J$5:J$654))/(MAX(J$5:J$654)-MIN(J$5:J$654)))</f>
        <v>0.181818181818182</v>
      </c>
      <c r="L267" s="10" t="str">
        <f aca="false">IF(K267=0,"Very Low",IF(K267&gt;=0.6,"Very High",IF(K267&gt;=0.4,"High",IF(K267&gt;=0.2,"Moderate",IF(K267&gt;=0.1,"Low","Very Low")))))</f>
        <v>Low</v>
      </c>
    </row>
    <row r="268" customFormat="false" ht="15" hidden="false" customHeight="false" outlineLevel="0" collapsed="false">
      <c r="A268" s="4" t="n">
        <v>264</v>
      </c>
      <c r="B268" s="4" t="n">
        <v>203</v>
      </c>
      <c r="C268" s="5" t="s">
        <v>315</v>
      </c>
      <c r="D268" s="4" t="s">
        <v>33</v>
      </c>
      <c r="E268" s="4" t="s">
        <v>24</v>
      </c>
      <c r="F268" s="6" t="s">
        <v>25</v>
      </c>
      <c r="G268" s="7" t="n">
        <v>0.74</v>
      </c>
      <c r="H268" s="7" t="n">
        <v>0.29</v>
      </c>
      <c r="I268" s="7" t="n">
        <v>0.47</v>
      </c>
      <c r="J268" s="8" t="n">
        <f aca="false">IF(I268=0,0,(G268*H268)/I268)</f>
        <v>0.456595744680851</v>
      </c>
      <c r="K268" s="9" t="n">
        <f aca="false">IF(J268=0,0,(J268-MIN(J$5:J$654))/(MAX(J$5:J$654)-MIN(J$5:J$654)))</f>
        <v>0.181188787571766</v>
      </c>
      <c r="L268" s="10" t="str">
        <f aca="false">IF(K268=0,"Very Low",IF(K268&gt;=0.6,"Very High",IF(K268&gt;=0.4,"High",IF(K268&gt;=0.2,"Moderate",IF(K268&gt;=0.1,"Low","Very Low")))))</f>
        <v>Low</v>
      </c>
    </row>
    <row r="269" customFormat="false" ht="15" hidden="false" customHeight="false" outlineLevel="0" collapsed="false">
      <c r="A269" s="4" t="n">
        <v>265</v>
      </c>
      <c r="B269" s="4" t="n">
        <v>204</v>
      </c>
      <c r="C269" s="5" t="s">
        <v>316</v>
      </c>
      <c r="D269" s="4" t="s">
        <v>59</v>
      </c>
      <c r="E269" s="4" t="s">
        <v>60</v>
      </c>
      <c r="F269" s="6" t="s">
        <v>31</v>
      </c>
      <c r="G269" s="7" t="n">
        <v>0.41</v>
      </c>
      <c r="H269" s="7" t="n">
        <v>0.39</v>
      </c>
      <c r="I269" s="7" t="n">
        <v>0.48</v>
      </c>
      <c r="J269" s="8" t="n">
        <f aca="false">IF(I269=0,0,(G269*H269)/I269)</f>
        <v>0.333125</v>
      </c>
      <c r="K269" s="9" t="n">
        <f aca="false">IF(J269=0,0,(J269-MIN(J$5:J$654))/(MAX(J$5:J$654)-MIN(J$5:J$654)))</f>
        <v>0.13219246031746</v>
      </c>
      <c r="L269" s="10" t="str">
        <f aca="false">IF(K269=0,"Very Low",IF(K269&gt;=0.6,"Very High",IF(K269&gt;=0.4,"High",IF(K269&gt;=0.2,"Moderate",IF(K269&gt;=0.1,"Low","Very Low")))))</f>
        <v>Low</v>
      </c>
    </row>
    <row r="270" customFormat="false" ht="15" hidden="false" customHeight="false" outlineLevel="0" collapsed="false">
      <c r="A270" s="4" t="n">
        <v>266</v>
      </c>
      <c r="B270" s="4" t="n">
        <v>205</v>
      </c>
      <c r="C270" s="5" t="s">
        <v>317</v>
      </c>
      <c r="D270" s="4" t="s">
        <v>79</v>
      </c>
      <c r="E270" s="4" t="s">
        <v>60</v>
      </c>
      <c r="F270" s="6" t="s">
        <v>17</v>
      </c>
      <c r="G270" s="7" t="n">
        <v>0.47</v>
      </c>
      <c r="H270" s="7" t="n">
        <v>0.99</v>
      </c>
      <c r="I270" s="7" t="n">
        <v>0.57</v>
      </c>
      <c r="J270" s="8" t="n">
        <f aca="false">IF(I270=0,0,(G270*H270)/I270)</f>
        <v>0.816315789473684</v>
      </c>
      <c r="K270" s="9" t="n">
        <f aca="false">IF(J270=0,0,(J270-MIN(J$5:J$654))/(MAX(J$5:J$654)-MIN(J$5:J$654)))</f>
        <v>0.323934837092732</v>
      </c>
      <c r="L270" s="10" t="str">
        <f aca="false">IF(K270=0,"Very Low",IF(K270&gt;=0.6,"Very High",IF(K270&gt;=0.4,"High",IF(K270&gt;=0.2,"Moderate",IF(K270&gt;=0.1,"Low","Very Low")))))</f>
        <v>Moderate</v>
      </c>
    </row>
    <row r="271" customFormat="false" ht="15" hidden="false" customHeight="false" outlineLevel="0" collapsed="false">
      <c r="A271" s="4" t="n">
        <v>267</v>
      </c>
      <c r="B271" s="4" t="n">
        <v>205</v>
      </c>
      <c r="C271" s="5" t="s">
        <v>318</v>
      </c>
      <c r="D271" s="4" t="s">
        <v>59</v>
      </c>
      <c r="E271" s="4" t="s">
        <v>60</v>
      </c>
      <c r="F271" s="6" t="s">
        <v>17</v>
      </c>
      <c r="G271" s="7" t="n">
        <v>0.28</v>
      </c>
      <c r="H271" s="7" t="n">
        <v>0.89</v>
      </c>
      <c r="I271" s="7" t="n">
        <v>0.47</v>
      </c>
      <c r="J271" s="8" t="n">
        <f aca="false">IF(I271=0,0,(G271*H271)/I271)</f>
        <v>0.530212765957447</v>
      </c>
      <c r="K271" s="9" t="n">
        <f aca="false">IF(J271=0,0,(J271-MIN(J$5:J$654))/(MAX(J$5:J$654)-MIN(J$5:J$654)))</f>
        <v>0.210401891252955</v>
      </c>
      <c r="L271" s="10" t="str">
        <f aca="false">IF(K271=0,"Very Low",IF(K271&gt;=0.6,"Very High",IF(K271&gt;=0.4,"High",IF(K271&gt;=0.2,"Moderate",IF(K271&gt;=0.1,"Low","Very Low")))))</f>
        <v>Moderate</v>
      </c>
    </row>
    <row r="272" customFormat="false" ht="15" hidden="false" customHeight="false" outlineLevel="0" collapsed="false">
      <c r="A272" s="4" t="n">
        <v>268</v>
      </c>
      <c r="B272" s="4" t="n">
        <v>206</v>
      </c>
      <c r="C272" s="5" t="s">
        <v>319</v>
      </c>
      <c r="D272" s="4" t="s">
        <v>33</v>
      </c>
      <c r="E272" s="4" t="s">
        <v>24</v>
      </c>
      <c r="F272" s="6" t="s">
        <v>27</v>
      </c>
      <c r="G272" s="7" t="n">
        <v>0.475</v>
      </c>
      <c r="H272" s="7" t="n">
        <v>0.39</v>
      </c>
      <c r="I272" s="7" t="n">
        <v>0.43</v>
      </c>
      <c r="J272" s="8" t="n">
        <f aca="false">IF(I272=0,0,(G272*H272)/I272)</f>
        <v>0.430813953488372</v>
      </c>
      <c r="K272" s="9" t="n">
        <f aca="false">IF(J272=0,0,(J272-MIN(J$5:J$654))/(MAX(J$5:J$654)-MIN(J$5:J$654)))</f>
        <v>0.170957918050941</v>
      </c>
      <c r="L272" s="10" t="str">
        <f aca="false">IF(K272=0,"Very Low",IF(K272&gt;=0.6,"Very High",IF(K272&gt;=0.4,"High",IF(K272&gt;=0.2,"Moderate",IF(K272&gt;=0.1,"Low","Very Low")))))</f>
        <v>Low</v>
      </c>
    </row>
    <row r="273" customFormat="false" ht="15" hidden="false" customHeight="false" outlineLevel="0" collapsed="false">
      <c r="A273" s="4" t="n">
        <v>269</v>
      </c>
      <c r="B273" s="4" t="n">
        <v>207</v>
      </c>
      <c r="C273" s="5" t="s">
        <v>320</v>
      </c>
      <c r="D273" s="4" t="s">
        <v>44</v>
      </c>
      <c r="E273" s="4" t="s">
        <v>30</v>
      </c>
      <c r="F273" s="6" t="s">
        <v>31</v>
      </c>
      <c r="G273" s="7" t="n">
        <v>0.96</v>
      </c>
      <c r="H273" s="7" t="n">
        <v>0.14</v>
      </c>
      <c r="I273" s="7" t="n">
        <v>0.42</v>
      </c>
      <c r="J273" s="8" t="n">
        <f aca="false">IF(I273=0,0,(G273*H273)/I273)</f>
        <v>0.32</v>
      </c>
      <c r="K273" s="9" t="n">
        <f aca="false">IF(J273=0,0,(J273-MIN(J$5:J$654))/(MAX(J$5:J$654)-MIN(J$5:J$654)))</f>
        <v>0.126984126984127</v>
      </c>
      <c r="L273" s="10" t="str">
        <f aca="false">IF(K273=0,"Very Low",IF(K273&gt;=0.6,"Very High",IF(K273&gt;=0.4,"High",IF(K273&gt;=0.2,"Moderate",IF(K273&gt;=0.1,"Low","Very Low")))))</f>
        <v>Low</v>
      </c>
    </row>
    <row r="274" customFormat="false" ht="15" hidden="false" customHeight="false" outlineLevel="0" collapsed="false">
      <c r="A274" s="4" t="n">
        <v>270</v>
      </c>
      <c r="B274" s="4" t="n">
        <v>208</v>
      </c>
      <c r="C274" s="5" t="s">
        <v>321</v>
      </c>
      <c r="D274" s="4" t="s">
        <v>59</v>
      </c>
      <c r="E274" s="4" t="s">
        <v>60</v>
      </c>
      <c r="F274" s="6" t="s">
        <v>25</v>
      </c>
      <c r="G274" s="7" t="n">
        <v>0.28</v>
      </c>
      <c r="H274" s="7" t="n">
        <v>0.58</v>
      </c>
      <c r="I274" s="7" t="n">
        <v>0.38</v>
      </c>
      <c r="J274" s="8" t="n">
        <f aca="false">IF(I274=0,0,(G274*H274)/I274)</f>
        <v>0.427368421052632</v>
      </c>
      <c r="K274" s="9" t="n">
        <f aca="false">IF(J274=0,0,(J274-MIN(J$5:J$654))/(MAX(J$5:J$654)-MIN(J$5:J$654)))</f>
        <v>0.169590643274854</v>
      </c>
      <c r="L274" s="10" t="str">
        <f aca="false">IF(K274=0,"Very Low",IF(K274&gt;=0.6,"Very High",IF(K274&gt;=0.4,"High",IF(K274&gt;=0.2,"Moderate",IF(K274&gt;=0.1,"Low","Very Low")))))</f>
        <v>Low</v>
      </c>
    </row>
    <row r="275" customFormat="false" ht="15" hidden="false" customHeight="false" outlineLevel="0" collapsed="false">
      <c r="A275" s="4" t="n">
        <v>271</v>
      </c>
      <c r="B275" s="4" t="n">
        <v>209</v>
      </c>
      <c r="C275" s="5" t="s">
        <v>322</v>
      </c>
      <c r="D275" s="4" t="s">
        <v>108</v>
      </c>
      <c r="E275" s="4" t="s">
        <v>30</v>
      </c>
      <c r="F275" s="6" t="s">
        <v>25</v>
      </c>
      <c r="G275" s="7" t="n">
        <v>0.28</v>
      </c>
      <c r="H275" s="7" t="n">
        <v>0.74</v>
      </c>
      <c r="I275" s="7" t="n">
        <v>0.49</v>
      </c>
      <c r="J275" s="8" t="n">
        <f aca="false">IF(I275=0,0,(G275*H275)/I275)</f>
        <v>0.422857142857143</v>
      </c>
      <c r="K275" s="9" t="n">
        <f aca="false">IF(J275=0,0,(J275-MIN(J$5:J$654))/(MAX(J$5:J$654)-MIN(J$5:J$654)))</f>
        <v>0.167800453514739</v>
      </c>
      <c r="L275" s="10" t="str">
        <f aca="false">IF(K275=0,"Very Low",IF(K275&gt;=0.6,"Very High",IF(K275&gt;=0.4,"High",IF(K275&gt;=0.2,"Moderate",IF(K275&gt;=0.1,"Low","Very Low")))))</f>
        <v>Low</v>
      </c>
    </row>
    <row r="276" customFormat="false" ht="15" hidden="false" customHeight="false" outlineLevel="0" collapsed="false">
      <c r="A276" s="4" t="n">
        <v>272</v>
      </c>
      <c r="B276" s="4" t="n">
        <v>210</v>
      </c>
      <c r="C276" s="5" t="s">
        <v>323</v>
      </c>
      <c r="D276" s="4" t="s">
        <v>106</v>
      </c>
      <c r="E276" s="4" t="s">
        <v>87</v>
      </c>
      <c r="F276" s="6" t="s">
        <v>25</v>
      </c>
      <c r="G276" s="7" t="n">
        <v>0.28</v>
      </c>
      <c r="H276" s="7" t="n">
        <v>0.75</v>
      </c>
      <c r="I276" s="7" t="n">
        <v>0.5</v>
      </c>
      <c r="J276" s="8" t="n">
        <f aca="false">IF(I276=0,0,(G276*H276)/I276)</f>
        <v>0.42</v>
      </c>
      <c r="K276" s="9" t="n">
        <f aca="false">IF(J276=0,0,(J276-MIN(J$5:J$654))/(MAX(J$5:J$654)-MIN(J$5:J$654)))</f>
        <v>0.166666666666667</v>
      </c>
      <c r="L276" s="10" t="str">
        <f aca="false">IF(K276=0,"Very Low",IF(K276&gt;=0.6,"Very High",IF(K276&gt;=0.4,"High",IF(K276&gt;=0.2,"Moderate",IF(K276&gt;=0.1,"Low","Very Low")))))</f>
        <v>Low</v>
      </c>
    </row>
    <row r="277" customFormat="false" ht="15" hidden="false" customHeight="false" outlineLevel="0" collapsed="false">
      <c r="A277" s="4" t="n">
        <v>273</v>
      </c>
      <c r="B277" s="4" t="n">
        <v>211</v>
      </c>
      <c r="C277" s="5" t="s">
        <v>324</v>
      </c>
      <c r="D277" s="4" t="s">
        <v>19</v>
      </c>
      <c r="E277" s="4" t="s">
        <v>20</v>
      </c>
      <c r="F277" s="6" t="s">
        <v>17</v>
      </c>
      <c r="G277" s="7" t="n">
        <v>0.28</v>
      </c>
      <c r="H277" s="7" t="n">
        <v>0.79</v>
      </c>
      <c r="I277" s="7" t="n">
        <v>0.52</v>
      </c>
      <c r="J277" s="8" t="n">
        <f aca="false">IF(I277=0,0,(G277*H277)/I277)</f>
        <v>0.425384615384615</v>
      </c>
      <c r="K277" s="9" t="n">
        <f aca="false">IF(J277=0,0,(J277-MIN(J$5:J$654))/(MAX(J$5:J$654)-MIN(J$5:J$654)))</f>
        <v>0.168803418803419</v>
      </c>
      <c r="L277" s="10" t="str">
        <f aca="false">IF(K277=0,"Very Low",IF(K277&gt;=0.6,"Very High",IF(K277&gt;=0.4,"High",IF(K277&gt;=0.2,"Moderate",IF(K277&gt;=0.1,"Low","Very Low")))))</f>
        <v>Low</v>
      </c>
    </row>
    <row r="278" customFormat="false" ht="15" hidden="false" customHeight="false" outlineLevel="0" collapsed="false">
      <c r="A278" s="4" t="n">
        <v>274</v>
      </c>
      <c r="B278" s="4" t="n">
        <v>211</v>
      </c>
      <c r="C278" s="5" t="s">
        <v>325</v>
      </c>
      <c r="D278" s="4" t="s">
        <v>59</v>
      </c>
      <c r="E278" s="4" t="s">
        <v>60</v>
      </c>
      <c r="F278" s="6" t="s">
        <v>31</v>
      </c>
      <c r="G278" s="7" t="n">
        <v>0.41</v>
      </c>
      <c r="H278" s="7" t="n">
        <v>0.27</v>
      </c>
      <c r="I278" s="7" t="n">
        <v>0.36</v>
      </c>
      <c r="J278" s="8" t="n">
        <f aca="false">IF(I278=0,0,(G278*H278)/I278)</f>
        <v>0.3075</v>
      </c>
      <c r="K278" s="9" t="n">
        <f aca="false">IF(J278=0,0,(J278-MIN(J$5:J$654))/(MAX(J$5:J$654)-MIN(J$5:J$654)))</f>
        <v>0.12202380952381</v>
      </c>
      <c r="L278" s="10" t="str">
        <f aca="false">IF(K278=0,"Very Low",IF(K278&gt;=0.6,"Very High",IF(K278&gt;=0.4,"High",IF(K278&gt;=0.2,"Moderate",IF(K278&gt;=0.1,"Low","Very Low")))))</f>
        <v>Low</v>
      </c>
    </row>
    <row r="279" customFormat="false" ht="15" hidden="false" customHeight="false" outlineLevel="0" collapsed="false">
      <c r="A279" s="4" t="n">
        <v>275</v>
      </c>
      <c r="B279" s="4" t="n">
        <v>212</v>
      </c>
      <c r="C279" s="5" t="s">
        <v>326</v>
      </c>
      <c r="D279" s="4" t="s">
        <v>36</v>
      </c>
      <c r="E279" s="4" t="s">
        <v>24</v>
      </c>
      <c r="F279" s="6" t="s">
        <v>34</v>
      </c>
      <c r="G279" s="7" t="n">
        <v>0.363</v>
      </c>
      <c r="H279" s="7" t="n">
        <v>0.42</v>
      </c>
      <c r="I279" s="7" t="n">
        <v>0.39</v>
      </c>
      <c r="J279" s="8" t="n">
        <f aca="false">IF(I279=0,0,(G279*H279)/I279)</f>
        <v>0.390923076923077</v>
      </c>
      <c r="K279" s="9" t="n">
        <f aca="false">IF(J279=0,0,(J279-MIN(J$5:J$654))/(MAX(J$5:J$654)-MIN(J$5:J$654)))</f>
        <v>0.155128205128205</v>
      </c>
      <c r="L279" s="10" t="str">
        <f aca="false">IF(K279=0,"Very Low",IF(K279&gt;=0.6,"Very High",IF(K279&gt;=0.4,"High",IF(K279&gt;=0.2,"Moderate",IF(K279&gt;=0.1,"Low","Very Low")))))</f>
        <v>Low</v>
      </c>
    </row>
    <row r="280" customFormat="false" ht="15" hidden="false" customHeight="false" outlineLevel="0" collapsed="false">
      <c r="A280" s="4" t="n">
        <v>276</v>
      </c>
      <c r="B280" s="4" t="n">
        <v>212</v>
      </c>
      <c r="C280" s="5" t="s">
        <v>327</v>
      </c>
      <c r="D280" s="4" t="s">
        <v>36</v>
      </c>
      <c r="E280" s="4" t="s">
        <v>24</v>
      </c>
      <c r="F280" s="6" t="s">
        <v>31</v>
      </c>
      <c r="G280" s="7" t="n">
        <v>0.41</v>
      </c>
      <c r="H280" s="7" t="n">
        <v>0.33</v>
      </c>
      <c r="I280" s="7" t="n">
        <v>0.45</v>
      </c>
      <c r="J280" s="8" t="n">
        <f aca="false">IF(I280=0,0,(G280*H280)/I280)</f>
        <v>0.300666666666667</v>
      </c>
      <c r="K280" s="9" t="n">
        <f aca="false">IF(J280=0,0,(J280-MIN(J$5:J$654))/(MAX(J$5:J$654)-MIN(J$5:J$654)))</f>
        <v>0.119312169312169</v>
      </c>
      <c r="L280" s="10" t="str">
        <f aca="false">IF(K280=0,"Very Low",IF(K280&gt;=0.6,"Very High",IF(K280&gt;=0.4,"High",IF(K280&gt;=0.2,"Moderate",IF(K280&gt;=0.1,"Low","Very Low")))))</f>
        <v>Low</v>
      </c>
    </row>
    <row r="281" customFormat="false" ht="15" hidden="false" customHeight="false" outlineLevel="0" collapsed="false">
      <c r="A281" s="4" t="n">
        <v>277</v>
      </c>
      <c r="B281" s="4" t="n">
        <v>213</v>
      </c>
      <c r="C281" s="5" t="s">
        <v>328</v>
      </c>
      <c r="D281" s="4" t="s">
        <v>29</v>
      </c>
      <c r="E281" s="4" t="s">
        <v>30</v>
      </c>
      <c r="F281" s="6" t="s">
        <v>25</v>
      </c>
      <c r="G281" s="7" t="n">
        <v>0.28</v>
      </c>
      <c r="H281" s="7" t="n">
        <v>0.72</v>
      </c>
      <c r="I281" s="7" t="n">
        <v>0.51</v>
      </c>
      <c r="J281" s="8" t="n">
        <f aca="false">IF(I281=0,0,(G281*H281)/I281)</f>
        <v>0.395294117647059</v>
      </c>
      <c r="K281" s="9" t="n">
        <f aca="false">IF(J281=0,0,(J281-MIN(J$5:J$654))/(MAX(J$5:J$654)-MIN(J$5:J$654)))</f>
        <v>0.156862745098039</v>
      </c>
      <c r="L281" s="10" t="str">
        <f aca="false">IF(K281=0,"Very Low",IF(K281&gt;=0.6,"Very High",IF(K281&gt;=0.4,"High",IF(K281&gt;=0.2,"Moderate",IF(K281&gt;=0.1,"Low","Very Low")))))</f>
        <v>Low</v>
      </c>
    </row>
    <row r="282" customFormat="false" ht="15" hidden="false" customHeight="false" outlineLevel="0" collapsed="false">
      <c r="A282" s="4" t="n">
        <v>278</v>
      </c>
      <c r="B282" s="4" t="n">
        <v>214</v>
      </c>
      <c r="C282" s="5" t="s">
        <v>329</v>
      </c>
      <c r="D282" s="4" t="s">
        <v>36</v>
      </c>
      <c r="E282" s="4" t="s">
        <v>24</v>
      </c>
      <c r="F282" s="6" t="s">
        <v>27</v>
      </c>
      <c r="G282" s="7" t="n">
        <v>0.25</v>
      </c>
      <c r="H282" s="7" t="n">
        <v>0.85</v>
      </c>
      <c r="I282" s="7" t="n">
        <v>0.56</v>
      </c>
      <c r="J282" s="8" t="n">
        <f aca="false">IF(I282=0,0,(G282*H282)/I282)</f>
        <v>0.379464285714286</v>
      </c>
      <c r="K282" s="9" t="n">
        <f aca="false">IF(J282=0,0,(J282-MIN(J$5:J$654))/(MAX(J$5:J$654)-MIN(J$5:J$654)))</f>
        <v>0.150581065759637</v>
      </c>
      <c r="L282" s="10" t="str">
        <f aca="false">IF(K282=0,"Very Low",IF(K282&gt;=0.6,"Very High",IF(K282&gt;=0.4,"High",IF(K282&gt;=0.2,"Moderate",IF(K282&gt;=0.1,"Low","Very Low")))))</f>
        <v>Low</v>
      </c>
    </row>
    <row r="283" customFormat="false" ht="15" hidden="false" customHeight="false" outlineLevel="0" collapsed="false">
      <c r="A283" s="4" t="n">
        <v>279</v>
      </c>
      <c r="B283" s="4" t="n">
        <v>215</v>
      </c>
      <c r="C283" s="5" t="s">
        <v>330</v>
      </c>
      <c r="D283" s="4" t="s">
        <v>106</v>
      </c>
      <c r="E283" s="4" t="s">
        <v>87</v>
      </c>
      <c r="F283" s="6" t="s">
        <v>25</v>
      </c>
      <c r="G283" s="7" t="n">
        <v>0.28</v>
      </c>
      <c r="H283" s="7" t="n">
        <v>0.66</v>
      </c>
      <c r="I283" s="7" t="n">
        <v>0.48</v>
      </c>
      <c r="J283" s="8" t="n">
        <f aca="false">IF(I283=0,0,(G283*H283)/I283)</f>
        <v>0.385</v>
      </c>
      <c r="K283" s="9" t="n">
        <f aca="false">IF(J283=0,0,(J283-MIN(J$5:J$654))/(MAX(J$5:J$654)-MIN(J$5:J$654)))</f>
        <v>0.152777777777778</v>
      </c>
      <c r="L283" s="10" t="str">
        <f aca="false">IF(K283=0,"Very Low",IF(K283&gt;=0.6,"Very High",IF(K283&gt;=0.4,"High",IF(K283&gt;=0.2,"Moderate",IF(K283&gt;=0.1,"Low","Very Low")))))</f>
        <v>Low</v>
      </c>
    </row>
    <row r="284" customFormat="false" ht="15" hidden="false" customHeight="false" outlineLevel="0" collapsed="false">
      <c r="A284" s="4" t="n">
        <v>280</v>
      </c>
      <c r="B284" s="4" t="n">
        <v>216</v>
      </c>
      <c r="C284" s="5" t="s">
        <v>331</v>
      </c>
      <c r="D284" s="4" t="s">
        <v>40</v>
      </c>
      <c r="E284" s="4" t="s">
        <v>20</v>
      </c>
      <c r="F284" s="6" t="s">
        <v>27</v>
      </c>
      <c r="G284" s="7" t="n">
        <v>0.15</v>
      </c>
      <c r="H284" s="7" t="n">
        <v>0.87</v>
      </c>
      <c r="I284" s="7" t="n">
        <v>0.35</v>
      </c>
      <c r="J284" s="8" t="n">
        <f aca="false">IF(I284=0,0,(G284*H284)/I284)</f>
        <v>0.372857142857143</v>
      </c>
      <c r="K284" s="9" t="n">
        <f aca="false">IF(J284=0,0,(J284-MIN(J$5:J$654))/(MAX(J$5:J$654)-MIN(J$5:J$654)))</f>
        <v>0.147959183673469</v>
      </c>
      <c r="L284" s="10" t="str">
        <f aca="false">IF(K284=0,"Very Low",IF(K284&gt;=0.6,"Very High",IF(K284&gt;=0.4,"High",IF(K284&gt;=0.2,"Moderate",IF(K284&gt;=0.1,"Low","Very Low")))))</f>
        <v>Low</v>
      </c>
    </row>
    <row r="285" customFormat="false" ht="15" hidden="false" customHeight="false" outlineLevel="0" collapsed="false">
      <c r="A285" s="4" t="n">
        <v>281</v>
      </c>
      <c r="B285" s="4" t="n">
        <v>216</v>
      </c>
      <c r="C285" s="5" t="s">
        <v>332</v>
      </c>
      <c r="D285" s="4" t="s">
        <v>40</v>
      </c>
      <c r="E285" s="4" t="s">
        <v>20</v>
      </c>
      <c r="F285" s="6" t="s">
        <v>25</v>
      </c>
      <c r="G285" s="7" t="n">
        <v>0.16</v>
      </c>
      <c r="H285" s="7" t="n">
        <v>0.81</v>
      </c>
      <c r="I285" s="7" t="n">
        <v>0.34</v>
      </c>
      <c r="J285" s="8" t="n">
        <f aca="false">IF(I285=0,0,(G285*H285)/I285)</f>
        <v>0.381176470588235</v>
      </c>
      <c r="K285" s="9" t="n">
        <f aca="false">IF(J285=0,0,(J285-MIN(J$5:J$654))/(MAX(J$5:J$654)-MIN(J$5:J$654)))</f>
        <v>0.151260504201681</v>
      </c>
      <c r="L285" s="10" t="str">
        <f aca="false">IF(K285=0,"Very Low",IF(K285&gt;=0.6,"Very High",IF(K285&gt;=0.4,"High",IF(K285&gt;=0.2,"Moderate",IF(K285&gt;=0.1,"Low","Very Low")))))</f>
        <v>Low</v>
      </c>
    </row>
    <row r="286" customFormat="false" ht="15" hidden="false" customHeight="false" outlineLevel="0" collapsed="false">
      <c r="A286" s="4" t="n">
        <v>282</v>
      </c>
      <c r="B286" s="4" t="n">
        <v>217</v>
      </c>
      <c r="C286" s="5" t="s">
        <v>333</v>
      </c>
      <c r="D286" s="4" t="s">
        <v>36</v>
      </c>
      <c r="E286" s="4" t="s">
        <v>24</v>
      </c>
      <c r="F286" s="6" t="s">
        <v>34</v>
      </c>
      <c r="G286" s="7" t="n">
        <v>0.545</v>
      </c>
      <c r="H286" s="7" t="n">
        <v>0.3</v>
      </c>
      <c r="I286" s="7" t="n">
        <v>0.46</v>
      </c>
      <c r="J286" s="8" t="n">
        <f aca="false">IF(I286=0,0,(G286*H286)/I286)</f>
        <v>0.355434782608696</v>
      </c>
      <c r="K286" s="9" t="n">
        <f aca="false">IF(J286=0,0,(J286-MIN(J$5:J$654))/(MAX(J$5:J$654)-MIN(J$5:J$654)))</f>
        <v>0.141045548654244</v>
      </c>
      <c r="L286" s="10" t="str">
        <f aca="false">IF(K286=0,"Very Low",IF(K286&gt;=0.6,"Very High",IF(K286&gt;=0.4,"High",IF(K286&gt;=0.2,"Moderate",IF(K286&gt;=0.1,"Low","Very Low")))))</f>
        <v>Low</v>
      </c>
    </row>
    <row r="287" customFormat="false" ht="15" hidden="false" customHeight="false" outlineLevel="0" collapsed="false">
      <c r="A287" s="4" t="n">
        <v>283</v>
      </c>
      <c r="B287" s="4" t="n">
        <v>218</v>
      </c>
      <c r="C287" s="5" t="s">
        <v>334</v>
      </c>
      <c r="D287" s="4" t="s">
        <v>59</v>
      </c>
      <c r="E287" s="4" t="s">
        <v>60</v>
      </c>
      <c r="F287" s="6" t="s">
        <v>31</v>
      </c>
      <c r="G287" s="7" t="n">
        <v>0.41</v>
      </c>
      <c r="H287" s="7" t="n">
        <v>0.29</v>
      </c>
      <c r="I287" s="7" t="n">
        <v>0.44</v>
      </c>
      <c r="J287" s="8" t="n">
        <f aca="false">IF(I287=0,0,(G287*H287)/I287)</f>
        <v>0.270227272727273</v>
      </c>
      <c r="K287" s="9" t="n">
        <f aca="false">IF(J287=0,0,(J287-MIN(J$5:J$654))/(MAX(J$5:J$654)-MIN(J$5:J$654)))</f>
        <v>0.107233044733045</v>
      </c>
      <c r="L287" s="10" t="str">
        <f aca="false">IF(K287=0,"Very Low",IF(K287&gt;=0.6,"Very High",IF(K287&gt;=0.4,"High",IF(K287&gt;=0.2,"Moderate",IF(K287&gt;=0.1,"Low","Very Low")))))</f>
        <v>Low</v>
      </c>
    </row>
    <row r="288" customFormat="false" ht="15" hidden="false" customHeight="false" outlineLevel="0" collapsed="false">
      <c r="A288" s="4" t="n">
        <v>284</v>
      </c>
      <c r="B288" s="4" t="n">
        <v>218</v>
      </c>
      <c r="C288" s="5" t="s">
        <v>335</v>
      </c>
      <c r="D288" s="4" t="s">
        <v>44</v>
      </c>
      <c r="E288" s="4" t="s">
        <v>30</v>
      </c>
      <c r="F288" s="6" t="s">
        <v>31</v>
      </c>
      <c r="G288" s="7" t="n">
        <v>0.41</v>
      </c>
      <c r="H288" s="7" t="n">
        <v>0.31</v>
      </c>
      <c r="I288" s="7" t="n">
        <v>0.47</v>
      </c>
      <c r="J288" s="8" t="n">
        <f aca="false">IF(I288=0,0,(G288*H288)/I288)</f>
        <v>0.270425531914894</v>
      </c>
      <c r="K288" s="9" t="n">
        <f aca="false">IF(J288=0,0,(J288-MIN(J$5:J$654))/(MAX(J$5:J$654)-MIN(J$5:J$654)))</f>
        <v>0.107311719013847</v>
      </c>
      <c r="L288" s="10" t="str">
        <f aca="false">IF(K288=0,"Very Low",IF(K288&gt;=0.6,"Very High",IF(K288&gt;=0.4,"High",IF(K288&gt;=0.2,"Moderate",IF(K288&gt;=0.1,"Low","Very Low")))))</f>
        <v>Low</v>
      </c>
    </row>
    <row r="289" customFormat="false" ht="15" hidden="false" customHeight="false" outlineLevel="0" collapsed="false">
      <c r="A289" s="4" t="n">
        <v>285</v>
      </c>
      <c r="B289" s="4" t="n">
        <v>219</v>
      </c>
      <c r="C289" s="5" t="s">
        <v>336</v>
      </c>
      <c r="D289" s="4" t="s">
        <v>36</v>
      </c>
      <c r="E289" s="4" t="s">
        <v>24</v>
      </c>
      <c r="F289" s="6" t="s">
        <v>31</v>
      </c>
      <c r="G289" s="7" t="n">
        <v>0.41</v>
      </c>
      <c r="H289" s="7" t="n">
        <v>0.23</v>
      </c>
      <c r="I289" s="7" t="n">
        <v>0.35</v>
      </c>
      <c r="J289" s="8" t="n">
        <f aca="false">IF(I289=0,0,(G289*H289)/I289)</f>
        <v>0.269428571428571</v>
      </c>
      <c r="K289" s="9" t="n">
        <f aca="false">IF(J289=0,0,(J289-MIN(J$5:J$654))/(MAX(J$5:J$654)-MIN(J$5:J$654)))</f>
        <v>0.106916099773243</v>
      </c>
      <c r="L289" s="10" t="str">
        <f aca="false">IF(K289=0,"Very Low",IF(K289&gt;=0.6,"Very High",IF(K289&gt;=0.4,"High",IF(K289&gt;=0.2,"Moderate",IF(K289&gt;=0.1,"Low","Very Low")))))</f>
        <v>Low</v>
      </c>
    </row>
    <row r="290" customFormat="false" ht="15" hidden="false" customHeight="false" outlineLevel="0" collapsed="false">
      <c r="A290" s="4" t="n">
        <v>286</v>
      </c>
      <c r="B290" s="4" t="n">
        <v>220</v>
      </c>
      <c r="C290" s="5" t="s">
        <v>337</v>
      </c>
      <c r="D290" s="4" t="s">
        <v>108</v>
      </c>
      <c r="E290" s="4" t="s">
        <v>30</v>
      </c>
      <c r="F290" s="6" t="s">
        <v>27</v>
      </c>
      <c r="G290" s="7" t="n">
        <v>0.25</v>
      </c>
      <c r="H290" s="7" t="n">
        <v>0.7</v>
      </c>
      <c r="I290" s="7" t="n">
        <v>0.49</v>
      </c>
      <c r="J290" s="8" t="n">
        <f aca="false">IF(I290=0,0,(G290*H290)/I290)</f>
        <v>0.357142857142857</v>
      </c>
      <c r="K290" s="9" t="n">
        <f aca="false">IF(J290=0,0,(J290-MIN(J$5:J$654))/(MAX(J$5:J$654)-MIN(J$5:J$654)))</f>
        <v>0.14172335600907</v>
      </c>
      <c r="L290" s="10" t="str">
        <f aca="false">IF(K290=0,"Very Low",IF(K290&gt;=0.6,"Very High",IF(K290&gt;=0.4,"High",IF(K290&gt;=0.2,"Moderate",IF(K290&gt;=0.1,"Low","Very Low")))))</f>
        <v>Low</v>
      </c>
    </row>
    <row r="291" customFormat="false" ht="15" hidden="false" customHeight="false" outlineLevel="0" collapsed="false">
      <c r="A291" s="4" t="n">
        <v>287</v>
      </c>
      <c r="B291" s="4" t="n">
        <v>221</v>
      </c>
      <c r="C291" s="5" t="s">
        <v>338</v>
      </c>
      <c r="D291" s="4" t="s">
        <v>83</v>
      </c>
      <c r="E291" s="4" t="s">
        <v>24</v>
      </c>
      <c r="F291" s="6" t="s">
        <v>25</v>
      </c>
      <c r="G291" s="7" t="n">
        <v>0.28</v>
      </c>
      <c r="H291" s="7" t="n">
        <v>0.67</v>
      </c>
      <c r="I291" s="7" t="n">
        <v>0.52</v>
      </c>
      <c r="J291" s="8" t="n">
        <f aca="false">IF(I291=0,0,(G291*H291)/I291)</f>
        <v>0.360769230769231</v>
      </c>
      <c r="K291" s="9" t="n">
        <f aca="false">IF(J291=0,0,(J291-MIN(J$5:J$654))/(MAX(J$5:J$654)-MIN(J$5:J$654)))</f>
        <v>0.143162393162393</v>
      </c>
      <c r="L291" s="10" t="str">
        <f aca="false">IF(K291=0,"Very Low",IF(K291&gt;=0.6,"Very High",IF(K291&gt;=0.4,"High",IF(K291&gt;=0.2,"Moderate",IF(K291&gt;=0.1,"Low","Very Low")))))</f>
        <v>Low</v>
      </c>
    </row>
    <row r="292" customFormat="false" ht="15" hidden="false" customHeight="false" outlineLevel="0" collapsed="false">
      <c r="A292" s="4" t="n">
        <v>288</v>
      </c>
      <c r="B292" s="4" t="n">
        <v>222</v>
      </c>
      <c r="C292" s="5" t="s">
        <v>339</v>
      </c>
      <c r="D292" s="4" t="s">
        <v>93</v>
      </c>
      <c r="E292" s="4" t="s">
        <v>24</v>
      </c>
      <c r="F292" s="6" t="s">
        <v>25</v>
      </c>
      <c r="G292" s="7" t="n">
        <v>0.28</v>
      </c>
      <c r="H292" s="7" t="n">
        <v>0.63</v>
      </c>
      <c r="I292" s="7" t="n">
        <v>0.5</v>
      </c>
      <c r="J292" s="8" t="n">
        <f aca="false">IF(I292=0,0,(G292*H292)/I292)</f>
        <v>0.3528</v>
      </c>
      <c r="K292" s="9" t="n">
        <f aca="false">IF(J292=0,0,(J292-MIN(J$5:J$654))/(MAX(J$5:J$654)-MIN(J$5:J$654)))</f>
        <v>0.14</v>
      </c>
      <c r="L292" s="10" t="str">
        <f aca="false">IF(K292=0,"Very Low",IF(K292&gt;=0.6,"Very High",IF(K292&gt;=0.4,"High",IF(K292&gt;=0.2,"Moderate",IF(K292&gt;=0.1,"Low","Very Low")))))</f>
        <v>Low</v>
      </c>
    </row>
    <row r="293" customFormat="false" ht="15" hidden="false" customHeight="false" outlineLevel="0" collapsed="false">
      <c r="A293" s="4" t="n">
        <v>289</v>
      </c>
      <c r="B293" s="4" t="n">
        <v>223</v>
      </c>
      <c r="C293" s="5" t="s">
        <v>340</v>
      </c>
      <c r="D293" s="4" t="s">
        <v>23</v>
      </c>
      <c r="E293" s="4" t="s">
        <v>24</v>
      </c>
      <c r="F293" s="6" t="s">
        <v>25</v>
      </c>
      <c r="G293" s="7" t="n">
        <v>0.16</v>
      </c>
      <c r="H293" s="7" t="n">
        <v>0.69</v>
      </c>
      <c r="I293" s="7" t="n">
        <v>0.32</v>
      </c>
      <c r="J293" s="8" t="n">
        <f aca="false">IF(I293=0,0,(G293*H293)/I293)</f>
        <v>0.345</v>
      </c>
      <c r="K293" s="9" t="n">
        <f aca="false">IF(J293=0,0,(J293-MIN(J$5:J$654))/(MAX(J$5:J$654)-MIN(J$5:J$654)))</f>
        <v>0.136904761904762</v>
      </c>
      <c r="L293" s="10" t="str">
        <f aca="false">IF(K293=0,"Very Low",IF(K293&gt;=0.6,"Very High",IF(K293&gt;=0.4,"High",IF(K293&gt;=0.2,"Moderate",IF(K293&gt;=0.1,"Low","Very Low")))))</f>
        <v>Low</v>
      </c>
    </row>
    <row r="294" customFormat="false" ht="15" hidden="false" customHeight="false" outlineLevel="0" collapsed="false">
      <c r="A294" s="4" t="n">
        <v>290</v>
      </c>
      <c r="B294" s="4" t="n">
        <v>224</v>
      </c>
      <c r="C294" s="5" t="s">
        <v>341</v>
      </c>
      <c r="D294" s="4" t="s">
        <v>59</v>
      </c>
      <c r="E294" s="4" t="s">
        <v>60</v>
      </c>
      <c r="F294" s="6" t="s">
        <v>25</v>
      </c>
      <c r="G294" s="7" t="n">
        <v>0.45</v>
      </c>
      <c r="H294" s="7" t="n">
        <v>0.33</v>
      </c>
      <c r="I294" s="7" t="n">
        <v>0.44</v>
      </c>
      <c r="J294" s="8" t="n">
        <f aca="false">IF(I294=0,0,(G294*H294)/I294)</f>
        <v>0.3375</v>
      </c>
      <c r="K294" s="9" t="n">
        <f aca="false">IF(J294=0,0,(J294-MIN(J$5:J$654))/(MAX(J$5:J$654)-MIN(J$5:J$654)))</f>
        <v>0.133928571428571</v>
      </c>
      <c r="L294" s="10" t="str">
        <f aca="false">IF(K294=0,"Very Low",IF(K294&gt;=0.6,"Very High",IF(K294&gt;=0.4,"High",IF(K294&gt;=0.2,"Moderate",IF(K294&gt;=0.1,"Low","Very Low")))))</f>
        <v>Low</v>
      </c>
    </row>
    <row r="295" customFormat="false" ht="15" hidden="false" customHeight="false" outlineLevel="0" collapsed="false">
      <c r="A295" s="4" t="n">
        <v>291</v>
      </c>
      <c r="B295" s="4" t="n">
        <v>225</v>
      </c>
      <c r="C295" s="5" t="s">
        <v>342</v>
      </c>
      <c r="D295" s="4" t="s">
        <v>106</v>
      </c>
      <c r="E295" s="4" t="s">
        <v>87</v>
      </c>
      <c r="F295" s="6" t="s">
        <v>31</v>
      </c>
      <c r="G295" s="7" t="n">
        <v>0.41</v>
      </c>
      <c r="H295" s="7" t="n">
        <v>0.31</v>
      </c>
      <c r="I295" s="7" t="n">
        <v>0.52</v>
      </c>
      <c r="J295" s="8" t="n">
        <f aca="false">IF(I295=0,0,(G295*H295)/I295)</f>
        <v>0.244423076923077</v>
      </c>
      <c r="K295" s="9" t="n">
        <f aca="false">IF(J295=0,0,(J295-MIN(J$5:J$654))/(MAX(J$5:J$654)-MIN(J$5:J$654)))</f>
        <v>0.0969932844932845</v>
      </c>
      <c r="L295" s="10" t="str">
        <f aca="false">IF(K295=0,"Very Low",IF(K295&gt;=0.6,"Very High",IF(K295&gt;=0.4,"High",IF(K295&gt;=0.2,"Moderate",IF(K295&gt;=0.1,"Low","Very Low")))))</f>
        <v>Very Low</v>
      </c>
    </row>
    <row r="296" customFormat="false" ht="15" hidden="false" customHeight="false" outlineLevel="0" collapsed="false">
      <c r="A296" s="4" t="n">
        <v>292</v>
      </c>
      <c r="B296" s="4" t="n">
        <v>226</v>
      </c>
      <c r="C296" s="5" t="s">
        <v>343</v>
      </c>
      <c r="D296" s="4" t="s">
        <v>23</v>
      </c>
      <c r="E296" s="4" t="s">
        <v>24</v>
      </c>
      <c r="F296" s="6" t="s">
        <v>25</v>
      </c>
      <c r="G296" s="7" t="n">
        <v>0.63</v>
      </c>
      <c r="H296" s="7" t="n">
        <v>0.19</v>
      </c>
      <c r="I296" s="7" t="n">
        <v>0.37</v>
      </c>
      <c r="J296" s="8" t="n">
        <f aca="false">IF(I296=0,0,(G296*H296)/I296)</f>
        <v>0.323513513513514</v>
      </c>
      <c r="K296" s="9" t="n">
        <f aca="false">IF(J296=0,0,(J296-MIN(J$5:J$654))/(MAX(J$5:J$654)-MIN(J$5:J$654)))</f>
        <v>0.128378378378378</v>
      </c>
      <c r="L296" s="10" t="str">
        <f aca="false">IF(K296=0,"Very Low",IF(K296&gt;=0.6,"Very High",IF(K296&gt;=0.4,"High",IF(K296&gt;=0.2,"Moderate",IF(K296&gt;=0.1,"Low","Very Low")))))</f>
        <v>Low</v>
      </c>
    </row>
    <row r="297" customFormat="false" ht="15" hidden="false" customHeight="false" outlineLevel="0" collapsed="false">
      <c r="A297" s="4" t="n">
        <v>293</v>
      </c>
      <c r="B297" s="4" t="n">
        <v>227</v>
      </c>
      <c r="C297" s="5" t="s">
        <v>344</v>
      </c>
      <c r="D297" s="4" t="s">
        <v>201</v>
      </c>
      <c r="E297" s="4" t="s">
        <v>60</v>
      </c>
      <c r="F297" s="6" t="s">
        <v>25</v>
      </c>
      <c r="G297" s="7" t="n">
        <v>0.16</v>
      </c>
      <c r="H297" s="7" t="n">
        <v>0.7</v>
      </c>
      <c r="I297" s="7" t="n">
        <v>0.36</v>
      </c>
      <c r="J297" s="8" t="n">
        <f aca="false">IF(I297=0,0,(G297*H297)/I297)</f>
        <v>0.311111111111111</v>
      </c>
      <c r="K297" s="9" t="n">
        <f aca="false">IF(J297=0,0,(J297-MIN(J$5:J$654))/(MAX(J$5:J$654)-MIN(J$5:J$654)))</f>
        <v>0.123456790123457</v>
      </c>
      <c r="L297" s="10" t="str">
        <f aca="false">IF(K297=0,"Very Low",IF(K297&gt;=0.6,"Very High",IF(K297&gt;=0.4,"High",IF(K297&gt;=0.2,"Moderate",IF(K297&gt;=0.1,"Low","Very Low")))))</f>
        <v>Low</v>
      </c>
    </row>
    <row r="298" customFormat="false" ht="15" hidden="false" customHeight="false" outlineLevel="0" collapsed="false">
      <c r="A298" s="4" t="n">
        <v>294</v>
      </c>
      <c r="B298" s="4" t="n">
        <v>228</v>
      </c>
      <c r="C298" s="5" t="s">
        <v>345</v>
      </c>
      <c r="D298" s="4" t="s">
        <v>93</v>
      </c>
      <c r="E298" s="4" t="s">
        <v>24</v>
      </c>
      <c r="F298" s="6" t="s">
        <v>27</v>
      </c>
      <c r="G298" s="7" t="n">
        <v>0.15</v>
      </c>
      <c r="H298" s="7" t="n">
        <v>0.99</v>
      </c>
      <c r="I298" s="7" t="n">
        <v>0.49</v>
      </c>
      <c r="J298" s="8" t="n">
        <f aca="false">IF(I298=0,0,(G298*H298)/I298)</f>
        <v>0.303061224489796</v>
      </c>
      <c r="K298" s="9" t="n">
        <f aca="false">IF(J298=0,0,(J298-MIN(J$5:J$654))/(MAX(J$5:J$654)-MIN(J$5:J$654)))</f>
        <v>0.120262390670554</v>
      </c>
      <c r="L298" s="10" t="str">
        <f aca="false">IF(K298=0,"Very Low",IF(K298&gt;=0.6,"Very High",IF(K298&gt;=0.4,"High",IF(K298&gt;=0.2,"Moderate",IF(K298&gt;=0.1,"Low","Very Low")))))</f>
        <v>Low</v>
      </c>
    </row>
    <row r="299" customFormat="false" ht="15" hidden="false" customHeight="false" outlineLevel="0" collapsed="false">
      <c r="A299" s="4" t="n">
        <v>295</v>
      </c>
      <c r="B299" s="4" t="n">
        <v>229</v>
      </c>
      <c r="C299" s="5" t="s">
        <v>346</v>
      </c>
      <c r="D299" s="4" t="s">
        <v>106</v>
      </c>
      <c r="E299" s="4" t="s">
        <v>87</v>
      </c>
      <c r="F299" s="6" t="s">
        <v>31</v>
      </c>
      <c r="G299" s="7" t="n">
        <v>0.41</v>
      </c>
      <c r="H299" s="7" t="n">
        <v>0.28</v>
      </c>
      <c r="I299" s="7" t="n">
        <v>0.51</v>
      </c>
      <c r="J299" s="8" t="n">
        <f aca="false">IF(I299=0,0,(G299*H299)/I299)</f>
        <v>0.225098039215686</v>
      </c>
      <c r="K299" s="9" t="n">
        <f aca="false">IF(J299=0,0,(J299-MIN(J$5:J$654))/(MAX(J$5:J$654)-MIN(J$5:J$654)))</f>
        <v>0.0893246187363834</v>
      </c>
      <c r="L299" s="10" t="str">
        <f aca="false">IF(K299=0,"Very Low",IF(K299&gt;=0.6,"Very High",IF(K299&gt;=0.4,"High",IF(K299&gt;=0.2,"Moderate",IF(K299&gt;=0.1,"Low","Very Low")))))</f>
        <v>Very Low</v>
      </c>
    </row>
    <row r="300" customFormat="false" ht="15" hidden="false" customHeight="false" outlineLevel="0" collapsed="false">
      <c r="A300" s="4" t="n">
        <v>296</v>
      </c>
      <c r="B300" s="4" t="n">
        <v>230</v>
      </c>
      <c r="C300" s="5" t="s">
        <v>347</v>
      </c>
      <c r="D300" s="4" t="s">
        <v>106</v>
      </c>
      <c r="E300" s="4" t="s">
        <v>87</v>
      </c>
      <c r="F300" s="6" t="s">
        <v>31</v>
      </c>
      <c r="G300" s="7" t="n">
        <v>0.41</v>
      </c>
      <c r="H300" s="7" t="n">
        <v>0.25</v>
      </c>
      <c r="I300" s="7" t="n">
        <v>0.46</v>
      </c>
      <c r="J300" s="8" t="n">
        <f aca="false">IF(I300=0,0,(G300*H300)/I300)</f>
        <v>0.222826086956522</v>
      </c>
      <c r="K300" s="9" t="n">
        <f aca="false">IF(J300=0,0,(J300-MIN(J$5:J$654))/(MAX(J$5:J$654)-MIN(J$5:J$654)))</f>
        <v>0.0884230503795721</v>
      </c>
      <c r="L300" s="10" t="str">
        <f aca="false">IF(K300=0,"Very Low",IF(K300&gt;=0.6,"Very High",IF(K300&gt;=0.4,"High",IF(K300&gt;=0.2,"Moderate",IF(K300&gt;=0.1,"Low","Very Low")))))</f>
        <v>Very Low</v>
      </c>
    </row>
    <row r="301" customFormat="false" ht="15" hidden="false" customHeight="false" outlineLevel="0" collapsed="false">
      <c r="A301" s="4" t="n">
        <v>297</v>
      </c>
      <c r="B301" s="4" t="n">
        <v>230</v>
      </c>
      <c r="C301" s="5" t="s">
        <v>348</v>
      </c>
      <c r="D301" s="4" t="s">
        <v>59</v>
      </c>
      <c r="E301" s="4" t="s">
        <v>60</v>
      </c>
      <c r="F301" s="6" t="s">
        <v>25</v>
      </c>
      <c r="G301" s="7" t="n">
        <v>0.16</v>
      </c>
      <c r="H301" s="7" t="n">
        <v>0.84</v>
      </c>
      <c r="I301" s="7" t="n">
        <v>0.44</v>
      </c>
      <c r="J301" s="8" t="n">
        <f aca="false">IF(I301=0,0,(G301*H301)/I301)</f>
        <v>0.305454545454545</v>
      </c>
      <c r="K301" s="9" t="n">
        <f aca="false">IF(J301=0,0,(J301-MIN(J$5:J$654))/(MAX(J$5:J$654)-MIN(J$5:J$654)))</f>
        <v>0.121212121212121</v>
      </c>
      <c r="L301" s="10" t="str">
        <f aca="false">IF(K301=0,"Very Low",IF(K301&gt;=0.6,"Very High",IF(K301&gt;=0.4,"High",IF(K301&gt;=0.2,"Moderate",IF(K301&gt;=0.1,"Low","Very Low")))))</f>
        <v>Low</v>
      </c>
    </row>
    <row r="302" customFormat="false" ht="15" hidden="false" customHeight="false" outlineLevel="0" collapsed="false">
      <c r="A302" s="4" t="n">
        <v>298</v>
      </c>
      <c r="B302" s="4" t="n">
        <v>231</v>
      </c>
      <c r="C302" s="5" t="s">
        <v>349</v>
      </c>
      <c r="D302" s="4" t="s">
        <v>29</v>
      </c>
      <c r="E302" s="4" t="s">
        <v>30</v>
      </c>
      <c r="F302" s="6" t="s">
        <v>31</v>
      </c>
      <c r="G302" s="7" t="n">
        <v>0.41</v>
      </c>
      <c r="H302" s="7" t="n">
        <v>0.27</v>
      </c>
      <c r="I302" s="7" t="n">
        <v>0.51</v>
      </c>
      <c r="J302" s="8" t="n">
        <f aca="false">IF(I302=0,0,(G302*H302)/I302)</f>
        <v>0.217058823529412</v>
      </c>
      <c r="K302" s="9" t="n">
        <f aca="false">IF(J302=0,0,(J302-MIN(J$5:J$654))/(MAX(J$5:J$654)-MIN(J$5:J$654)))</f>
        <v>0.0861344537815126</v>
      </c>
      <c r="L302" s="10" t="str">
        <f aca="false">IF(K302=0,"Very Low",IF(K302&gt;=0.6,"Very High",IF(K302&gt;=0.4,"High",IF(K302&gt;=0.2,"Moderate",IF(K302&gt;=0.1,"Low","Very Low")))))</f>
        <v>Very Low</v>
      </c>
    </row>
    <row r="303" customFormat="false" ht="15" hidden="false" customHeight="false" outlineLevel="0" collapsed="false">
      <c r="A303" s="4" t="n">
        <v>299</v>
      </c>
      <c r="B303" s="4" t="n">
        <v>232</v>
      </c>
      <c r="C303" s="5" t="s">
        <v>350</v>
      </c>
      <c r="D303" s="4" t="s">
        <v>83</v>
      </c>
      <c r="E303" s="4" t="s">
        <v>24</v>
      </c>
      <c r="F303" s="6" t="s">
        <v>27</v>
      </c>
      <c r="G303" s="7" t="n">
        <v>0.15</v>
      </c>
      <c r="H303" s="7" t="n">
        <v>0.94</v>
      </c>
      <c r="I303" s="7" t="n">
        <v>0.5</v>
      </c>
      <c r="J303" s="8" t="n">
        <f aca="false">IF(I303=0,0,(G303*H303)/I303)</f>
        <v>0.282</v>
      </c>
      <c r="K303" s="9" t="n">
        <f aca="false">IF(J303=0,0,(J303-MIN(J$5:J$654))/(MAX(J$5:J$654)-MIN(J$5:J$654)))</f>
        <v>0.111904761904762</v>
      </c>
      <c r="L303" s="10" t="str">
        <f aca="false">IF(K303=0,"Very Low",IF(K303&gt;=0.6,"Very High",IF(K303&gt;=0.4,"High",IF(K303&gt;=0.2,"Moderate",IF(K303&gt;=0.1,"Low","Very Low")))))</f>
        <v>Low</v>
      </c>
    </row>
    <row r="304" customFormat="false" ht="15" hidden="false" customHeight="false" outlineLevel="0" collapsed="false">
      <c r="A304" s="4" t="n">
        <v>300</v>
      </c>
      <c r="B304" s="4" t="n">
        <v>233</v>
      </c>
      <c r="C304" s="5" t="s">
        <v>351</v>
      </c>
      <c r="D304" s="4" t="s">
        <v>59</v>
      </c>
      <c r="E304" s="4" t="s">
        <v>60</v>
      </c>
      <c r="F304" s="6" t="s">
        <v>25</v>
      </c>
      <c r="G304" s="7" t="n">
        <v>0.16</v>
      </c>
      <c r="H304" s="7" t="n">
        <v>0.69</v>
      </c>
      <c r="I304" s="7" t="n">
        <v>0.39</v>
      </c>
      <c r="J304" s="8" t="n">
        <f aca="false">IF(I304=0,0,(G304*H304)/I304)</f>
        <v>0.283076923076923</v>
      </c>
      <c r="K304" s="9" t="n">
        <f aca="false">IF(J304=0,0,(J304-MIN(J$5:J$654))/(MAX(J$5:J$654)-MIN(J$5:J$654)))</f>
        <v>0.112332112332112</v>
      </c>
      <c r="L304" s="10" t="str">
        <f aca="false">IF(K304=0,"Very Low",IF(K304&gt;=0.6,"Very High",IF(K304&gt;=0.4,"High",IF(K304&gt;=0.2,"Moderate",IF(K304&gt;=0.1,"Low","Very Low")))))</f>
        <v>Low</v>
      </c>
    </row>
    <row r="305" customFormat="false" ht="15" hidden="false" customHeight="false" outlineLevel="0" collapsed="false">
      <c r="A305" s="4" t="n">
        <v>301</v>
      </c>
      <c r="B305" s="4" t="n">
        <v>234</v>
      </c>
      <c r="C305" s="5" t="s">
        <v>352</v>
      </c>
      <c r="D305" s="4" t="s">
        <v>59</v>
      </c>
      <c r="E305" s="4" t="s">
        <v>60</v>
      </c>
      <c r="F305" s="6" t="s">
        <v>25</v>
      </c>
      <c r="G305" s="7" t="n">
        <v>0.16</v>
      </c>
      <c r="H305" s="7" t="n">
        <v>0.84</v>
      </c>
      <c r="I305" s="7" t="n">
        <v>0.48</v>
      </c>
      <c r="J305" s="8" t="n">
        <f aca="false">IF(I305=0,0,(G305*H305)/I305)</f>
        <v>0.28</v>
      </c>
      <c r="K305" s="9" t="n">
        <f aca="false">IF(J305=0,0,(J305-MIN(J$5:J$654))/(MAX(J$5:J$654)-MIN(J$5:J$654)))</f>
        <v>0.111111111111111</v>
      </c>
      <c r="L305" s="10" t="str">
        <f aca="false">IF(K305=0,"Very Low",IF(K305&gt;=0.6,"Very High",IF(K305&gt;=0.4,"High",IF(K305&gt;=0.2,"Moderate",IF(K305&gt;=0.1,"Low","Very Low")))))</f>
        <v>Low</v>
      </c>
    </row>
    <row r="306" customFormat="false" ht="15" hidden="false" customHeight="false" outlineLevel="0" collapsed="false">
      <c r="A306" s="4" t="n">
        <v>302</v>
      </c>
      <c r="B306" s="4" t="n">
        <v>234</v>
      </c>
      <c r="C306" s="5" t="s">
        <v>353</v>
      </c>
      <c r="D306" s="4" t="s">
        <v>106</v>
      </c>
      <c r="E306" s="4" t="s">
        <v>87</v>
      </c>
      <c r="F306" s="6" t="s">
        <v>25</v>
      </c>
      <c r="G306" s="7" t="n">
        <v>0.28</v>
      </c>
      <c r="H306" s="7" t="n">
        <v>0.48</v>
      </c>
      <c r="I306" s="7" t="n">
        <v>0.48</v>
      </c>
      <c r="J306" s="8" t="n">
        <f aca="false">IF(I306=0,0,(G306*H306)/I306)</f>
        <v>0.28</v>
      </c>
      <c r="K306" s="9" t="n">
        <f aca="false">IF(J306=0,0,(J306-MIN(J$5:J$654))/(MAX(J$5:J$654)-MIN(J$5:J$654)))</f>
        <v>0.111111111111111</v>
      </c>
      <c r="L306" s="10" t="str">
        <f aca="false">IF(K306=0,"Very Low",IF(K306&gt;=0.6,"Very High",IF(K306&gt;=0.4,"High",IF(K306&gt;=0.2,"Moderate",IF(K306&gt;=0.1,"Low","Very Low")))))</f>
        <v>Low</v>
      </c>
    </row>
    <row r="307" customFormat="false" ht="15" hidden="false" customHeight="false" outlineLevel="0" collapsed="false">
      <c r="A307" s="4" t="n">
        <v>303</v>
      </c>
      <c r="B307" s="4" t="n">
        <v>235</v>
      </c>
      <c r="C307" s="5" t="s">
        <v>354</v>
      </c>
      <c r="D307" s="4" t="s">
        <v>79</v>
      </c>
      <c r="E307" s="4" t="s">
        <v>60</v>
      </c>
      <c r="F307" s="6" t="s">
        <v>21</v>
      </c>
      <c r="G307" s="7" t="n">
        <v>0.17</v>
      </c>
      <c r="H307" s="7" t="n">
        <v>0.6</v>
      </c>
      <c r="I307" s="7" t="n">
        <v>0.58</v>
      </c>
      <c r="J307" s="8" t="n">
        <f aca="false">IF(I307=0,0,(G307*H307)/I307)</f>
        <v>0.175862068965517</v>
      </c>
      <c r="K307" s="9" t="n">
        <f aca="false">IF(J307=0,0,(J307-MIN(J$5:J$654))/(MAX(J$5:J$654)-MIN(J$5:J$654)))</f>
        <v>0.0697865353037767</v>
      </c>
      <c r="L307" s="10" t="str">
        <f aca="false">IF(K307=0,"Very Low",IF(K307&gt;=0.6,"Very High",IF(K307&gt;=0.4,"High",IF(K307&gt;=0.2,"Moderate",IF(K307&gt;=0.1,"Low","Very Low")))))</f>
        <v>Very Low</v>
      </c>
    </row>
    <row r="308" customFormat="false" ht="15" hidden="false" customHeight="false" outlineLevel="0" collapsed="false">
      <c r="A308" s="4" t="n">
        <v>304</v>
      </c>
      <c r="B308" s="4" t="n">
        <v>236</v>
      </c>
      <c r="C308" s="5" t="s">
        <v>355</v>
      </c>
      <c r="D308" s="4" t="s">
        <v>36</v>
      </c>
      <c r="E308" s="4" t="s">
        <v>24</v>
      </c>
      <c r="F308" s="6" t="s">
        <v>31</v>
      </c>
      <c r="G308" s="7" t="n">
        <v>0.41</v>
      </c>
      <c r="H308" s="7" t="n">
        <v>0.21</v>
      </c>
      <c r="I308" s="7" t="n">
        <v>0.45</v>
      </c>
      <c r="J308" s="8" t="n">
        <f aca="false">IF(I308=0,0,(G308*H308)/I308)</f>
        <v>0.191333333333333</v>
      </c>
      <c r="K308" s="9" t="n">
        <f aca="false">IF(J308=0,0,(J308-MIN(J$5:J$654))/(MAX(J$5:J$654)-MIN(J$5:J$654)))</f>
        <v>0.0759259259259259</v>
      </c>
      <c r="L308" s="10" t="str">
        <f aca="false">IF(K308=0,"Very Low",IF(K308&gt;=0.6,"Very High",IF(K308&gt;=0.4,"High",IF(K308&gt;=0.2,"Moderate",IF(K308&gt;=0.1,"Low","Very Low")))))</f>
        <v>Very Low</v>
      </c>
    </row>
    <row r="309" customFormat="false" ht="15" hidden="false" customHeight="false" outlineLevel="0" collapsed="false">
      <c r="A309" s="4" t="n">
        <v>305</v>
      </c>
      <c r="B309" s="4" t="n">
        <v>237</v>
      </c>
      <c r="C309" s="5" t="s">
        <v>356</v>
      </c>
      <c r="D309" s="4" t="s">
        <v>108</v>
      </c>
      <c r="E309" s="4" t="s">
        <v>30</v>
      </c>
      <c r="F309" s="6" t="s">
        <v>27</v>
      </c>
      <c r="G309" s="7" t="n">
        <v>0.15</v>
      </c>
      <c r="H309" s="7" t="n">
        <v>0.86</v>
      </c>
      <c r="I309" s="7" t="n">
        <v>0.51</v>
      </c>
      <c r="J309" s="8" t="n">
        <f aca="false">IF(I309=0,0,(G309*H309)/I309)</f>
        <v>0.252941176470588</v>
      </c>
      <c r="K309" s="9" t="n">
        <f aca="false">IF(J309=0,0,(J309-MIN(J$5:J$654))/(MAX(J$5:J$654)-MIN(J$5:J$654)))</f>
        <v>0.100373482726424</v>
      </c>
      <c r="L309" s="10" t="str">
        <f aca="false">IF(K309=0,"Very Low",IF(K309&gt;=0.6,"Very High",IF(K309&gt;=0.4,"High",IF(K309&gt;=0.2,"Moderate",IF(K309&gt;=0.1,"Low","Very Low")))))</f>
        <v>Low</v>
      </c>
    </row>
    <row r="310" customFormat="false" ht="15" hidden="false" customHeight="false" outlineLevel="0" collapsed="false">
      <c r="A310" s="4" t="n">
        <v>306</v>
      </c>
      <c r="B310" s="4" t="n">
        <v>237</v>
      </c>
      <c r="C310" s="5" t="s">
        <v>357</v>
      </c>
      <c r="D310" s="4" t="s">
        <v>108</v>
      </c>
      <c r="E310" s="4" t="s">
        <v>30</v>
      </c>
      <c r="F310" s="6" t="s">
        <v>25</v>
      </c>
      <c r="G310" s="7" t="n">
        <v>0.16</v>
      </c>
      <c r="H310" s="7" t="n">
        <v>0.74</v>
      </c>
      <c r="I310" s="7" t="n">
        <v>0.46</v>
      </c>
      <c r="J310" s="8" t="n">
        <f aca="false">IF(I310=0,0,(G310*H310)/I310)</f>
        <v>0.257391304347826</v>
      </c>
      <c r="K310" s="9" t="n">
        <f aca="false">IF(J310=0,0,(J310-MIN(J$5:J$654))/(MAX(J$5:J$654)-MIN(J$5:J$654)))</f>
        <v>0.102139406487233</v>
      </c>
      <c r="L310" s="10" t="str">
        <f aca="false">IF(K310=0,"Very Low",IF(K310&gt;=0.6,"Very High",IF(K310&gt;=0.4,"High",IF(K310&gt;=0.2,"Moderate",IF(K310&gt;=0.1,"Low","Very Low")))))</f>
        <v>Low</v>
      </c>
    </row>
    <row r="311" customFormat="false" ht="15" hidden="false" customHeight="false" outlineLevel="0" collapsed="false">
      <c r="A311" s="4" t="n">
        <v>307</v>
      </c>
      <c r="B311" s="4" t="n">
        <v>238</v>
      </c>
      <c r="C311" s="5" t="s">
        <v>358</v>
      </c>
      <c r="D311" s="4" t="s">
        <v>40</v>
      </c>
      <c r="E311" s="4" t="s">
        <v>20</v>
      </c>
      <c r="F311" s="6" t="s">
        <v>21</v>
      </c>
      <c r="G311" s="7" t="n">
        <v>0.11</v>
      </c>
      <c r="H311" s="7" t="n">
        <v>0.75</v>
      </c>
      <c r="I311" s="7" t="n">
        <v>0.49</v>
      </c>
      <c r="J311" s="8" t="n">
        <f aca="false">IF(I311=0,0,(G311*H311)/I311)</f>
        <v>0.168367346938776</v>
      </c>
      <c r="K311" s="9" t="n">
        <f aca="false">IF(J311=0,0,(J311-MIN(J$5:J$654))/(MAX(J$5:J$654)-MIN(J$5:J$654)))</f>
        <v>0.0668124392614189</v>
      </c>
      <c r="L311" s="10" t="str">
        <f aca="false">IF(K311=0,"Very Low",IF(K311&gt;=0.6,"Very High",IF(K311&gt;=0.4,"High",IF(K311&gt;=0.2,"Moderate",IF(K311&gt;=0.1,"Low","Very Low")))))</f>
        <v>Very Low</v>
      </c>
    </row>
    <row r="312" customFormat="false" ht="15" hidden="false" customHeight="false" outlineLevel="0" collapsed="false">
      <c r="A312" s="4" t="n">
        <v>308</v>
      </c>
      <c r="B312" s="4" t="n">
        <v>238</v>
      </c>
      <c r="C312" s="5" t="s">
        <v>359</v>
      </c>
      <c r="D312" s="4" t="s">
        <v>74</v>
      </c>
      <c r="E312" s="4" t="s">
        <v>60</v>
      </c>
      <c r="F312" s="6" t="s">
        <v>17</v>
      </c>
      <c r="G312" s="7" t="n">
        <v>0.28</v>
      </c>
      <c r="H312" s="7" t="n">
        <v>0.22</v>
      </c>
      <c r="I312" s="7" t="n">
        <v>0.5</v>
      </c>
      <c r="J312" s="8" t="n">
        <f aca="false">IF(I312=0,0,(G312*H312)/I312)</f>
        <v>0.1232</v>
      </c>
      <c r="K312" s="9" t="n">
        <f aca="false">IF(J312=0,0,(J312-MIN(J$5:J$654))/(MAX(J$5:J$654)-MIN(J$5:J$654)))</f>
        <v>0.0488888888888889</v>
      </c>
      <c r="L312" s="10" t="str">
        <f aca="false">IF(K312=0,"Very Low",IF(K312&gt;=0.6,"Very High",IF(K312&gt;=0.4,"High",IF(K312&gt;=0.2,"Moderate",IF(K312&gt;=0.1,"Low","Very Low")))))</f>
        <v>Very Low</v>
      </c>
    </row>
    <row r="313" customFormat="false" ht="15" hidden="false" customHeight="false" outlineLevel="0" collapsed="false">
      <c r="A313" s="4" t="n">
        <v>309</v>
      </c>
      <c r="B313" s="4" t="n">
        <v>238</v>
      </c>
      <c r="C313" s="5" t="s">
        <v>360</v>
      </c>
      <c r="D313" s="4" t="s">
        <v>40</v>
      </c>
      <c r="E313" s="4" t="s">
        <v>20</v>
      </c>
      <c r="F313" s="6" t="s">
        <v>21</v>
      </c>
      <c r="G313" s="7" t="n">
        <v>0.11</v>
      </c>
      <c r="H313" s="7" t="n">
        <v>0.75</v>
      </c>
      <c r="I313" s="7" t="n">
        <v>0.49</v>
      </c>
      <c r="J313" s="8" t="n">
        <f aca="false">IF(I313=0,0,(G313*H313)/I313)</f>
        <v>0.168367346938776</v>
      </c>
      <c r="K313" s="9" t="n">
        <f aca="false">IF(J313=0,0,(J313-MIN(J$5:J$654))/(MAX(J$5:J$654)-MIN(J$5:J$654)))</f>
        <v>0.0668124392614189</v>
      </c>
      <c r="L313" s="10" t="str">
        <f aca="false">IF(K313=0,"Very Low",IF(K313&gt;=0.6,"Very High",IF(K313&gt;=0.4,"High",IF(K313&gt;=0.2,"Moderate",IF(K313&gt;=0.1,"Low","Very Low")))))</f>
        <v>Very Low</v>
      </c>
    </row>
    <row r="314" customFormat="false" ht="15" hidden="false" customHeight="false" outlineLevel="0" collapsed="false">
      <c r="A314" s="4" t="n">
        <v>310</v>
      </c>
      <c r="B314" s="4" t="n">
        <v>239</v>
      </c>
      <c r="C314" s="5" t="s">
        <v>361</v>
      </c>
      <c r="D314" s="4" t="s">
        <v>36</v>
      </c>
      <c r="E314" s="4" t="s">
        <v>24</v>
      </c>
      <c r="F314" s="6" t="s">
        <v>25</v>
      </c>
      <c r="G314" s="7" t="n">
        <v>0.16</v>
      </c>
      <c r="H314" s="7" t="n">
        <v>0.62</v>
      </c>
      <c r="I314" s="7" t="n">
        <v>0.41</v>
      </c>
      <c r="J314" s="8" t="n">
        <f aca="false">IF(I314=0,0,(G314*H314)/I314)</f>
        <v>0.241951219512195</v>
      </c>
      <c r="K314" s="9" t="n">
        <f aca="false">IF(J314=0,0,(J314-MIN(J$5:J$654))/(MAX(J$5:J$654)-MIN(J$5:J$654)))</f>
        <v>0.0960123886953155</v>
      </c>
      <c r="L314" s="10" t="str">
        <f aca="false">IF(K314=0,"Very Low",IF(K314&gt;=0.6,"Very High",IF(K314&gt;=0.4,"High",IF(K314&gt;=0.2,"Moderate",IF(K314&gt;=0.1,"Low","Very Low")))))</f>
        <v>Very Low</v>
      </c>
    </row>
    <row r="315" customFormat="false" ht="15" hidden="false" customHeight="false" outlineLevel="0" collapsed="false">
      <c r="A315" s="4" t="n">
        <v>311</v>
      </c>
      <c r="B315" s="4" t="n">
        <v>240</v>
      </c>
      <c r="C315" s="5" t="s">
        <v>362</v>
      </c>
      <c r="D315" s="4" t="s">
        <v>162</v>
      </c>
      <c r="E315" s="4" t="s">
        <v>60</v>
      </c>
      <c r="F315" s="6" t="s">
        <v>17</v>
      </c>
      <c r="G315" s="7" t="n">
        <v>0.28</v>
      </c>
      <c r="H315" s="7" t="n">
        <v>0.43</v>
      </c>
      <c r="I315" s="7" t="n">
        <v>0.55</v>
      </c>
      <c r="J315" s="8" t="n">
        <f aca="false">IF(I315=0,0,(G315*H315)/I315)</f>
        <v>0.218909090909091</v>
      </c>
      <c r="K315" s="9" t="n">
        <f aca="false">IF(J315=0,0,(J315-MIN(J$5:J$654))/(MAX(J$5:J$654)-MIN(J$5:J$654)))</f>
        <v>0.0868686868686869</v>
      </c>
      <c r="L315" s="10" t="str">
        <f aca="false">IF(K315=0,"Very Low",IF(K315&gt;=0.6,"Very High",IF(K315&gt;=0.4,"High",IF(K315&gt;=0.2,"Moderate",IF(K315&gt;=0.1,"Low","Very Low")))))</f>
        <v>Very Low</v>
      </c>
    </row>
    <row r="316" customFormat="false" ht="15" hidden="false" customHeight="false" outlineLevel="0" collapsed="false">
      <c r="A316" s="4" t="n">
        <v>312</v>
      </c>
      <c r="B316" s="4" t="n">
        <v>241</v>
      </c>
      <c r="C316" s="5" t="s">
        <v>363</v>
      </c>
      <c r="D316" s="4" t="s">
        <v>93</v>
      </c>
      <c r="E316" s="4" t="s">
        <v>24</v>
      </c>
      <c r="F316" s="6" t="s">
        <v>25</v>
      </c>
      <c r="G316" s="7" t="n">
        <v>0.16</v>
      </c>
      <c r="H316" s="7" t="n">
        <v>0.62</v>
      </c>
      <c r="I316" s="7" t="n">
        <v>0.44</v>
      </c>
      <c r="J316" s="8" t="n">
        <f aca="false">IF(I316=0,0,(G316*H316)/I316)</f>
        <v>0.225454545454545</v>
      </c>
      <c r="K316" s="9" t="n">
        <f aca="false">IF(J316=0,0,(J316-MIN(J$5:J$654))/(MAX(J$5:J$654)-MIN(J$5:J$654)))</f>
        <v>0.0894660894660895</v>
      </c>
      <c r="L316" s="10" t="str">
        <f aca="false">IF(K316=0,"Very Low",IF(K316&gt;=0.6,"Very High",IF(K316&gt;=0.4,"High",IF(K316&gt;=0.2,"Moderate",IF(K316&gt;=0.1,"Low","Very Low")))))</f>
        <v>Very Low</v>
      </c>
    </row>
    <row r="317" customFormat="false" ht="15" hidden="false" customHeight="false" outlineLevel="0" collapsed="false">
      <c r="A317" s="4" t="n">
        <v>313</v>
      </c>
      <c r="B317" s="4" t="n">
        <v>242</v>
      </c>
      <c r="C317" s="5" t="s">
        <v>364</v>
      </c>
      <c r="D317" s="4" t="s">
        <v>108</v>
      </c>
      <c r="E317" s="4" t="s">
        <v>30</v>
      </c>
      <c r="F317" s="6" t="s">
        <v>31</v>
      </c>
      <c r="G317" s="7" t="n">
        <v>0.68</v>
      </c>
      <c r="H317" s="7" t="n">
        <v>0.12</v>
      </c>
      <c r="I317" s="7" t="n">
        <v>0.5</v>
      </c>
      <c r="J317" s="8" t="n">
        <f aca="false">IF(I317=0,0,(G317*H317)/I317)</f>
        <v>0.1632</v>
      </c>
      <c r="K317" s="9" t="n">
        <f aca="false">IF(J317=0,0,(J317-MIN(J$5:J$654))/(MAX(J$5:J$654)-MIN(J$5:J$654)))</f>
        <v>0.0647619047619048</v>
      </c>
      <c r="L317" s="10" t="str">
        <f aca="false">IF(K317=0,"Very Low",IF(K317&gt;=0.6,"Very High",IF(K317&gt;=0.4,"High",IF(K317&gt;=0.2,"Moderate",IF(K317&gt;=0.1,"Low","Very Low")))))</f>
        <v>Very Low</v>
      </c>
    </row>
    <row r="318" customFormat="false" ht="15" hidden="false" customHeight="false" outlineLevel="0" collapsed="false">
      <c r="A318" s="4" t="n">
        <v>314</v>
      </c>
      <c r="B318" s="4" t="n">
        <v>243</v>
      </c>
      <c r="C318" s="5" t="s">
        <v>365</v>
      </c>
      <c r="D318" s="4" t="s">
        <v>36</v>
      </c>
      <c r="E318" s="4" t="s">
        <v>24</v>
      </c>
      <c r="F318" s="6" t="s">
        <v>31</v>
      </c>
      <c r="G318" s="7" t="n">
        <v>0.41</v>
      </c>
      <c r="H318" s="7" t="n">
        <v>0.19</v>
      </c>
      <c r="I318" s="7" t="n">
        <v>0.48</v>
      </c>
      <c r="J318" s="8" t="n">
        <f aca="false">IF(I318=0,0,(G318*H318)/I318)</f>
        <v>0.162291666666667</v>
      </c>
      <c r="K318" s="9" t="n">
        <f aca="false">IF(J318=0,0,(J318-MIN(J$5:J$654))/(MAX(J$5:J$654)-MIN(J$5:J$654)))</f>
        <v>0.064401455026455</v>
      </c>
      <c r="L318" s="10" t="str">
        <f aca="false">IF(K318=0,"Very Low",IF(K318&gt;=0.6,"Very High",IF(K318&gt;=0.4,"High",IF(K318&gt;=0.2,"Moderate",IF(K318&gt;=0.1,"Low","Very Low")))))</f>
        <v>Very Low</v>
      </c>
    </row>
    <row r="319" customFormat="false" ht="15" hidden="false" customHeight="false" outlineLevel="0" collapsed="false">
      <c r="A319" s="4" t="n">
        <v>315</v>
      </c>
      <c r="B319" s="4" t="n">
        <v>244</v>
      </c>
      <c r="C319" s="5" t="s">
        <v>366</v>
      </c>
      <c r="D319" s="4" t="s">
        <v>38</v>
      </c>
      <c r="E319" s="4" t="s">
        <v>16</v>
      </c>
      <c r="F319" s="6" t="s">
        <v>17</v>
      </c>
      <c r="G319" s="7" t="n">
        <v>0.28</v>
      </c>
      <c r="H319" s="7" t="n">
        <v>0.28</v>
      </c>
      <c r="I319" s="7" t="n">
        <v>0.46</v>
      </c>
      <c r="J319" s="8" t="n">
        <f aca="false">IF(I319=0,0,(G319*H319)/I319)</f>
        <v>0.170434782608696</v>
      </c>
      <c r="K319" s="9" t="n">
        <f aca="false">IF(J319=0,0,(J319-MIN(J$5:J$654))/(MAX(J$5:J$654)-MIN(J$5:J$654)))</f>
        <v>0.0676328502415459</v>
      </c>
      <c r="L319" s="10" t="str">
        <f aca="false">IF(K319=0,"Very Low",IF(K319&gt;=0.6,"Very High",IF(K319&gt;=0.4,"High",IF(K319&gt;=0.2,"Moderate",IF(K319&gt;=0.1,"Low","Very Low")))))</f>
        <v>Very Low</v>
      </c>
    </row>
    <row r="320" customFormat="false" ht="15" hidden="false" customHeight="false" outlineLevel="0" collapsed="false">
      <c r="A320" s="4" t="n">
        <v>316</v>
      </c>
      <c r="B320" s="4" t="n">
        <v>245</v>
      </c>
      <c r="C320" s="5" t="s">
        <v>367</v>
      </c>
      <c r="D320" s="4" t="s">
        <v>40</v>
      </c>
      <c r="E320" s="4" t="s">
        <v>20</v>
      </c>
      <c r="F320" s="6" t="s">
        <v>31</v>
      </c>
      <c r="G320" s="7" t="n">
        <v>0.41</v>
      </c>
      <c r="H320" s="7" t="n">
        <v>0.14</v>
      </c>
      <c r="I320" s="7" t="n">
        <v>0.36</v>
      </c>
      <c r="J320" s="8" t="n">
        <f aca="false">IF(I320=0,0,(G320*H320)/I320)</f>
        <v>0.159444444444444</v>
      </c>
      <c r="K320" s="9" t="n">
        <f aca="false">IF(J320=0,0,(J320-MIN(J$5:J$654))/(MAX(J$5:J$654)-MIN(J$5:J$654)))</f>
        <v>0.0632716049382716</v>
      </c>
      <c r="L320" s="10" t="str">
        <f aca="false">IF(K320=0,"Very Low",IF(K320&gt;=0.6,"Very High",IF(K320&gt;=0.4,"High",IF(K320&gt;=0.2,"Moderate",IF(K320&gt;=0.1,"Low","Very Low")))))</f>
        <v>Very Low</v>
      </c>
    </row>
    <row r="321" customFormat="false" ht="15" hidden="false" customHeight="false" outlineLevel="0" collapsed="false">
      <c r="A321" s="4" t="n">
        <v>317</v>
      </c>
      <c r="B321" s="4" t="n">
        <v>246</v>
      </c>
      <c r="C321" s="5" t="s">
        <v>368</v>
      </c>
      <c r="D321" s="4" t="s">
        <v>93</v>
      </c>
      <c r="E321" s="4" t="s">
        <v>24</v>
      </c>
      <c r="F321" s="6" t="s">
        <v>27</v>
      </c>
      <c r="G321" s="7" t="n">
        <v>0.1</v>
      </c>
      <c r="H321" s="7" t="n">
        <v>0.98</v>
      </c>
      <c r="I321" s="7" t="n">
        <v>0.49</v>
      </c>
      <c r="J321" s="8" t="n">
        <f aca="false">IF(I321=0,0,(G321*H321)/I321)</f>
        <v>0.2</v>
      </c>
      <c r="K321" s="9" t="n">
        <f aca="false">IF(J321=0,0,(J321-MIN(J$5:J$654))/(MAX(J$5:J$654)-MIN(J$5:J$654)))</f>
        <v>0.0793650793650794</v>
      </c>
      <c r="L321" s="10" t="str">
        <f aca="false">IF(K321=0,"Very Low",IF(K321&gt;=0.6,"Very High",IF(K321&gt;=0.4,"High",IF(K321&gt;=0.2,"Moderate",IF(K321&gt;=0.1,"Low","Very Low")))))</f>
        <v>Very Low</v>
      </c>
    </row>
    <row r="322" customFormat="false" ht="15" hidden="false" customHeight="false" outlineLevel="0" collapsed="false">
      <c r="A322" s="4" t="n">
        <v>318</v>
      </c>
      <c r="B322" s="4" t="n">
        <v>247</v>
      </c>
      <c r="C322" s="5" t="s">
        <v>369</v>
      </c>
      <c r="D322" s="4" t="s">
        <v>108</v>
      </c>
      <c r="E322" s="4" t="s">
        <v>30</v>
      </c>
      <c r="F322" s="6" t="s">
        <v>25</v>
      </c>
      <c r="G322" s="7" t="n">
        <v>0.16</v>
      </c>
      <c r="H322" s="7" t="n">
        <v>0.64</v>
      </c>
      <c r="I322" s="7" t="n">
        <v>0.52</v>
      </c>
      <c r="J322" s="8" t="n">
        <f aca="false">IF(I322=0,0,(G322*H322)/I322)</f>
        <v>0.196923076923077</v>
      </c>
      <c r="K322" s="9" t="n">
        <f aca="false">IF(J322=0,0,(J322-MIN(J$5:J$654))/(MAX(J$5:J$654)-MIN(J$5:J$654)))</f>
        <v>0.0781440781440781</v>
      </c>
      <c r="L322" s="10" t="str">
        <f aca="false">IF(K322=0,"Very Low",IF(K322&gt;=0.6,"Very High",IF(K322&gt;=0.4,"High",IF(K322&gt;=0.2,"Moderate",IF(K322&gt;=0.1,"Low","Very Low")))))</f>
        <v>Very Low</v>
      </c>
    </row>
    <row r="323" customFormat="false" ht="15" hidden="false" customHeight="false" outlineLevel="0" collapsed="false">
      <c r="A323" s="4" t="n">
        <v>319</v>
      </c>
      <c r="B323" s="4" t="n">
        <v>248</v>
      </c>
      <c r="C323" s="5" t="s">
        <v>370</v>
      </c>
      <c r="D323" s="4" t="s">
        <v>106</v>
      </c>
      <c r="E323" s="4" t="s">
        <v>87</v>
      </c>
      <c r="F323" s="6" t="s">
        <v>25</v>
      </c>
      <c r="G323" s="7" t="n">
        <v>0.16</v>
      </c>
      <c r="H323" s="7" t="n">
        <v>0.61</v>
      </c>
      <c r="I323" s="7" t="n">
        <v>0.5</v>
      </c>
      <c r="J323" s="8" t="n">
        <f aca="false">IF(I323=0,0,(G323*H323)/I323)</f>
        <v>0.1952</v>
      </c>
      <c r="K323" s="9" t="n">
        <f aca="false">IF(J323=0,0,(J323-MIN(J$5:J$654))/(MAX(J$5:J$654)-MIN(J$5:J$654)))</f>
        <v>0.0774603174603175</v>
      </c>
      <c r="L323" s="10" t="str">
        <f aca="false">IF(K323=0,"Very Low",IF(K323&gt;=0.6,"Very High",IF(K323&gt;=0.4,"High",IF(K323&gt;=0.2,"Moderate",IF(K323&gt;=0.1,"Low","Very Low")))))</f>
        <v>Very Low</v>
      </c>
    </row>
    <row r="324" customFormat="false" ht="15" hidden="false" customHeight="false" outlineLevel="0" collapsed="false">
      <c r="A324" s="4" t="n">
        <v>320</v>
      </c>
      <c r="B324" s="4" t="n">
        <v>249</v>
      </c>
      <c r="C324" s="5" t="s">
        <v>371</v>
      </c>
      <c r="D324" s="4" t="s">
        <v>86</v>
      </c>
      <c r="E324" s="4" t="s">
        <v>87</v>
      </c>
      <c r="F324" s="6" t="s">
        <v>25</v>
      </c>
      <c r="G324" s="7" t="n">
        <v>0.16</v>
      </c>
      <c r="H324" s="7" t="n">
        <v>0.56</v>
      </c>
      <c r="I324" s="7" t="n">
        <v>0.47</v>
      </c>
      <c r="J324" s="8" t="n">
        <f aca="false">IF(I324=0,0,(G324*H324)/I324)</f>
        <v>0.19063829787234</v>
      </c>
      <c r="K324" s="9" t="n">
        <f aca="false">IF(J324=0,0,(J324-MIN(J$5:J$654))/(MAX(J$5:J$654)-MIN(J$5:J$654)))</f>
        <v>0.0756501182033097</v>
      </c>
      <c r="L324" s="10" t="str">
        <f aca="false">IF(K324=0,"Very Low",IF(K324&gt;=0.6,"Very High",IF(K324&gt;=0.4,"High",IF(K324&gt;=0.2,"Moderate",IF(K324&gt;=0.1,"Low","Very Low")))))</f>
        <v>Very Low</v>
      </c>
    </row>
    <row r="325" customFormat="false" ht="15" hidden="false" customHeight="false" outlineLevel="0" collapsed="false">
      <c r="A325" s="4" t="n">
        <v>321</v>
      </c>
      <c r="B325" s="4" t="n">
        <v>249</v>
      </c>
      <c r="C325" s="5" t="s">
        <v>372</v>
      </c>
      <c r="D325" s="4" t="s">
        <v>162</v>
      </c>
      <c r="E325" s="4" t="s">
        <v>60</v>
      </c>
      <c r="F325" s="6" t="s">
        <v>25</v>
      </c>
      <c r="G325" s="7" t="n">
        <v>0.16</v>
      </c>
      <c r="H325" s="7" t="n">
        <v>0.56</v>
      </c>
      <c r="I325" s="7" t="n">
        <v>0.47</v>
      </c>
      <c r="J325" s="8" t="n">
        <f aca="false">IF(I325=0,0,(G325*H325)/I325)</f>
        <v>0.19063829787234</v>
      </c>
      <c r="K325" s="9" t="n">
        <f aca="false">IF(J325=0,0,(J325-MIN(J$5:J$654))/(MAX(J$5:J$654)-MIN(J$5:J$654)))</f>
        <v>0.0756501182033097</v>
      </c>
      <c r="L325" s="10" t="str">
        <f aca="false">IF(K325=0,"Very Low",IF(K325&gt;=0.6,"Very High",IF(K325&gt;=0.4,"High",IF(K325&gt;=0.2,"Moderate",IF(K325&gt;=0.1,"Low","Very Low")))))</f>
        <v>Very Low</v>
      </c>
    </row>
    <row r="326" customFormat="false" ht="15" hidden="false" customHeight="false" outlineLevel="0" collapsed="false">
      <c r="A326" s="4" t="n">
        <v>322</v>
      </c>
      <c r="B326" s="4" t="n">
        <v>249</v>
      </c>
      <c r="C326" s="5" t="s">
        <v>373</v>
      </c>
      <c r="D326" s="4" t="s">
        <v>44</v>
      </c>
      <c r="E326" s="4" t="s">
        <v>30</v>
      </c>
      <c r="F326" s="6" t="s">
        <v>31</v>
      </c>
      <c r="G326" s="7" t="n">
        <v>0.68</v>
      </c>
      <c r="H326" s="7" t="n">
        <v>0.1</v>
      </c>
      <c r="I326" s="7" t="n">
        <v>0.49</v>
      </c>
      <c r="J326" s="8" t="n">
        <f aca="false">IF(I326=0,0,(G326*H326)/I326)</f>
        <v>0.138775510204082</v>
      </c>
      <c r="K326" s="9" t="n">
        <f aca="false">IF(J326=0,0,(J326-MIN(J$5:J$654))/(MAX(J$5:J$654)-MIN(J$5:J$654)))</f>
        <v>0.0550696469063816</v>
      </c>
      <c r="L326" s="10" t="str">
        <f aca="false">IF(K326=0,"Very Low",IF(K326&gt;=0.6,"Very High",IF(K326&gt;=0.4,"High",IF(K326&gt;=0.2,"Moderate",IF(K326&gt;=0.1,"Low","Very Low")))))</f>
        <v>Very Low</v>
      </c>
    </row>
    <row r="327" customFormat="false" ht="15" hidden="false" customHeight="false" outlineLevel="0" collapsed="false">
      <c r="A327" s="4" t="n">
        <v>323</v>
      </c>
      <c r="B327" s="4" t="n">
        <v>250</v>
      </c>
      <c r="C327" s="5" t="s">
        <v>374</v>
      </c>
      <c r="D327" s="4" t="s">
        <v>108</v>
      </c>
      <c r="E327" s="4" t="s">
        <v>30</v>
      </c>
      <c r="F327" s="6" t="s">
        <v>25</v>
      </c>
      <c r="G327" s="7" t="n">
        <v>0.45</v>
      </c>
      <c r="H327" s="7" t="n">
        <v>0.19</v>
      </c>
      <c r="I327" s="7" t="n">
        <v>0.49</v>
      </c>
      <c r="J327" s="8" t="n">
        <f aca="false">IF(I327=0,0,(G327*H327)/I327)</f>
        <v>0.174489795918367</v>
      </c>
      <c r="K327" s="9" t="n">
        <f aca="false">IF(J327=0,0,(J327-MIN(J$5:J$654))/(MAX(J$5:J$654)-MIN(J$5:J$654)))</f>
        <v>0.0692419825072886</v>
      </c>
      <c r="L327" s="10" t="str">
        <f aca="false">IF(K327=0,"Very Low",IF(K327&gt;=0.6,"Very High",IF(K327&gt;=0.4,"High",IF(K327&gt;=0.2,"Moderate",IF(K327&gt;=0.1,"Low","Very Low")))))</f>
        <v>Very Low</v>
      </c>
    </row>
    <row r="328" customFormat="false" ht="15" hidden="false" customHeight="false" outlineLevel="0" collapsed="false">
      <c r="A328" s="4" t="n">
        <v>324</v>
      </c>
      <c r="B328" s="4" t="n">
        <v>251</v>
      </c>
      <c r="C328" s="5" t="s">
        <v>375</v>
      </c>
      <c r="D328" s="4" t="s">
        <v>36</v>
      </c>
      <c r="E328" s="4" t="s">
        <v>24</v>
      </c>
      <c r="F328" s="6" t="s">
        <v>34</v>
      </c>
      <c r="G328" s="7" t="n">
        <v>0.545</v>
      </c>
      <c r="H328" s="7" t="n">
        <v>0.14</v>
      </c>
      <c r="I328" s="7" t="n">
        <v>0.48</v>
      </c>
      <c r="J328" s="8" t="n">
        <f aca="false">IF(I328=0,0,(G328*H328)/I328)</f>
        <v>0.158958333333333</v>
      </c>
      <c r="K328" s="9" t="n">
        <f aca="false">IF(J328=0,0,(J328-MIN(J$5:J$654))/(MAX(J$5:J$654)-MIN(J$5:J$654)))</f>
        <v>0.0630787037037037</v>
      </c>
      <c r="L328" s="10" t="str">
        <f aca="false">IF(K328=0,"Very Low",IF(K328&gt;=0.6,"Very High",IF(K328&gt;=0.4,"High",IF(K328&gt;=0.2,"Moderate",IF(K328&gt;=0.1,"Low","Very Low")))))</f>
        <v>Very Low</v>
      </c>
    </row>
    <row r="329" customFormat="false" ht="15" hidden="false" customHeight="false" outlineLevel="0" collapsed="false">
      <c r="A329" s="4" t="n">
        <v>325</v>
      </c>
      <c r="B329" s="4" t="n">
        <v>252</v>
      </c>
      <c r="C329" s="5" t="s">
        <v>376</v>
      </c>
      <c r="D329" s="4" t="s">
        <v>36</v>
      </c>
      <c r="E329" s="4" t="s">
        <v>24</v>
      </c>
      <c r="F329" s="6" t="s">
        <v>31</v>
      </c>
      <c r="G329" s="7" t="n">
        <v>0.68</v>
      </c>
      <c r="H329" s="7" t="n">
        <v>0.07</v>
      </c>
      <c r="I329" s="7" t="n">
        <v>0.41</v>
      </c>
      <c r="J329" s="8" t="n">
        <f aca="false">IF(I329=0,0,(G329*H329)/I329)</f>
        <v>0.11609756097561</v>
      </c>
      <c r="K329" s="9" t="n">
        <f aca="false">IF(J329=0,0,(J329-MIN(J$5:J$654))/(MAX(J$5:J$654)-MIN(J$5:J$654)))</f>
        <v>0.0460704607046071</v>
      </c>
      <c r="L329" s="10" t="str">
        <f aca="false">IF(K329=0,"Very Low",IF(K329&gt;=0.6,"Very High",IF(K329&gt;=0.4,"High",IF(K329&gt;=0.2,"Moderate",IF(K329&gt;=0.1,"Low","Very Low")))))</f>
        <v>Very Low</v>
      </c>
    </row>
    <row r="330" customFormat="false" ht="15" hidden="false" customHeight="false" outlineLevel="0" collapsed="false">
      <c r="A330" s="4" t="n">
        <v>326</v>
      </c>
      <c r="B330" s="4" t="n">
        <v>253</v>
      </c>
      <c r="C330" s="5" t="s">
        <v>377</v>
      </c>
      <c r="D330" s="4" t="s">
        <v>29</v>
      </c>
      <c r="E330" s="4" t="s">
        <v>30</v>
      </c>
      <c r="F330" s="6" t="s">
        <v>21</v>
      </c>
      <c r="G330" s="7" t="n">
        <v>0.17</v>
      </c>
      <c r="H330" s="7" t="n">
        <v>0.38</v>
      </c>
      <c r="I330" s="7" t="n">
        <v>0.62</v>
      </c>
      <c r="J330" s="8" t="n">
        <f aca="false">IF(I330=0,0,(G330*H330)/I330)</f>
        <v>0.104193548387097</v>
      </c>
      <c r="K330" s="9" t="n">
        <f aca="false">IF(J330=0,0,(J330-MIN(J$5:J$654))/(MAX(J$5:J$654)-MIN(J$5:J$654)))</f>
        <v>0.0413466461853559</v>
      </c>
      <c r="L330" s="10" t="str">
        <f aca="false">IF(K330=0,"Very Low",IF(K330&gt;=0.6,"Very High",IF(K330&gt;=0.4,"High",IF(K330&gt;=0.2,"Moderate",IF(K330&gt;=0.1,"Low","Very Low")))))</f>
        <v>Very Low</v>
      </c>
    </row>
    <row r="331" customFormat="false" ht="15" hidden="false" customHeight="false" outlineLevel="0" collapsed="false">
      <c r="A331" s="4" t="n">
        <v>327</v>
      </c>
      <c r="B331" s="4" t="n">
        <v>254</v>
      </c>
      <c r="C331" s="5" t="s">
        <v>378</v>
      </c>
      <c r="D331" s="4" t="s">
        <v>108</v>
      </c>
      <c r="E331" s="4" t="s">
        <v>30</v>
      </c>
      <c r="F331" s="6" t="s">
        <v>21</v>
      </c>
      <c r="G331" s="7" t="n">
        <v>0.17</v>
      </c>
      <c r="H331" s="7" t="n">
        <v>0.32</v>
      </c>
      <c r="I331" s="7" t="n">
        <v>0.53</v>
      </c>
      <c r="J331" s="8" t="n">
        <f aca="false">IF(I331=0,0,(G331*H331)/I331)</f>
        <v>0.102641509433962</v>
      </c>
      <c r="K331" s="9" t="n">
        <f aca="false">IF(J331=0,0,(J331-MIN(J$5:J$654))/(MAX(J$5:J$654)-MIN(J$5:J$654)))</f>
        <v>0.0407307577118898</v>
      </c>
      <c r="L331" s="10" t="str">
        <f aca="false">IF(K331=0,"Very Low",IF(K331&gt;=0.6,"Very High",IF(K331&gt;=0.4,"High",IF(K331&gt;=0.2,"Moderate",IF(K331&gt;=0.1,"Low","Very Low")))))</f>
        <v>Very Low</v>
      </c>
    </row>
    <row r="332" customFormat="false" ht="15" hidden="false" customHeight="false" outlineLevel="0" collapsed="false">
      <c r="A332" s="4" t="n">
        <v>328</v>
      </c>
      <c r="B332" s="4" t="n">
        <v>255</v>
      </c>
      <c r="C332" s="5" t="s">
        <v>379</v>
      </c>
      <c r="D332" s="4" t="s">
        <v>36</v>
      </c>
      <c r="E332" s="4" t="s">
        <v>24</v>
      </c>
      <c r="F332" s="6" t="s">
        <v>27</v>
      </c>
      <c r="G332" s="7" t="n">
        <v>0.1</v>
      </c>
      <c r="H332" s="7" t="n">
        <v>0.7</v>
      </c>
      <c r="I332" s="7" t="n">
        <v>0.49</v>
      </c>
      <c r="J332" s="8" t="n">
        <f aca="false">IF(I332=0,0,(G332*H332)/I332)</f>
        <v>0.142857142857143</v>
      </c>
      <c r="K332" s="9" t="n">
        <f aca="false">IF(J332=0,0,(J332-MIN(J$5:J$654))/(MAX(J$5:J$654)-MIN(J$5:J$654)))</f>
        <v>0.0566893424036281</v>
      </c>
      <c r="L332" s="10" t="str">
        <f aca="false">IF(K332=0,"Very Low",IF(K332&gt;=0.6,"Very High",IF(K332&gt;=0.4,"High",IF(K332&gt;=0.2,"Moderate",IF(K332&gt;=0.1,"Low","Very Low")))))</f>
        <v>Very Low</v>
      </c>
    </row>
    <row r="333" customFormat="false" ht="15" hidden="false" customHeight="false" outlineLevel="0" collapsed="false">
      <c r="A333" s="4" t="n">
        <v>329</v>
      </c>
      <c r="B333" s="4" t="n">
        <v>256</v>
      </c>
      <c r="C333" s="5" t="s">
        <v>380</v>
      </c>
      <c r="D333" s="4" t="s">
        <v>106</v>
      </c>
      <c r="E333" s="4" t="s">
        <v>87</v>
      </c>
      <c r="F333" s="6" t="s">
        <v>25</v>
      </c>
      <c r="G333" s="7" t="n">
        <v>0.16</v>
      </c>
      <c r="H333" s="7" t="n">
        <v>0.41</v>
      </c>
      <c r="I333" s="7" t="n">
        <v>0.47</v>
      </c>
      <c r="J333" s="8" t="n">
        <f aca="false">IF(I333=0,0,(G333*H333)/I333)</f>
        <v>0.139574468085106</v>
      </c>
      <c r="K333" s="9" t="n">
        <f aca="false">IF(J333=0,0,(J333-MIN(J$5:J$654))/(MAX(J$5:J$654)-MIN(J$5:J$654)))</f>
        <v>0.055386693684566</v>
      </c>
      <c r="L333" s="10" t="str">
        <f aca="false">IF(K333=0,"Very Low",IF(K333&gt;=0.6,"Very High",IF(K333&gt;=0.4,"High",IF(K333&gt;=0.2,"Moderate",IF(K333&gt;=0.1,"Low","Very Low")))))</f>
        <v>Very Low</v>
      </c>
    </row>
    <row r="334" customFormat="false" ht="15" hidden="false" customHeight="false" outlineLevel="0" collapsed="false">
      <c r="A334" s="4" t="n">
        <v>330</v>
      </c>
      <c r="B334" s="4" t="n">
        <v>257</v>
      </c>
      <c r="C334" s="5" t="s">
        <v>381</v>
      </c>
      <c r="D334" s="4" t="s">
        <v>59</v>
      </c>
      <c r="E334" s="4" t="s">
        <v>60</v>
      </c>
      <c r="F334" s="6" t="s">
        <v>31</v>
      </c>
      <c r="G334" s="7" t="n">
        <v>0.41</v>
      </c>
      <c r="H334" s="7" t="n">
        <v>0.08</v>
      </c>
      <c r="I334" s="7" t="n">
        <v>0.36</v>
      </c>
      <c r="J334" s="8" t="n">
        <f aca="false">IF(I334=0,0,(G334*H334)/I334)</f>
        <v>0.0911111111111111</v>
      </c>
      <c r="K334" s="9" t="n">
        <f aca="false">IF(J334=0,0,(J334-MIN(J$5:J$654))/(MAX(J$5:J$654)-MIN(J$5:J$654)))</f>
        <v>0.0361552028218695</v>
      </c>
      <c r="L334" s="10" t="str">
        <f aca="false">IF(K334=0,"Very Low",IF(K334&gt;=0.6,"Very High",IF(K334&gt;=0.4,"High",IF(K334&gt;=0.2,"Moderate",IF(K334&gt;=0.1,"Low","Very Low")))))</f>
        <v>Very Low</v>
      </c>
    </row>
    <row r="335" customFormat="false" ht="15" hidden="false" customHeight="false" outlineLevel="0" collapsed="false">
      <c r="A335" s="4" t="n">
        <v>331</v>
      </c>
      <c r="B335" s="4" t="n">
        <v>258</v>
      </c>
      <c r="C335" s="5" t="s">
        <v>382</v>
      </c>
      <c r="D335" s="4" t="s">
        <v>95</v>
      </c>
      <c r="E335" s="4" t="s">
        <v>20</v>
      </c>
      <c r="F335" s="6" t="s">
        <v>21</v>
      </c>
      <c r="G335" s="7" t="n">
        <v>0.06</v>
      </c>
      <c r="H335" s="7" t="n">
        <v>0.55</v>
      </c>
      <c r="I335" s="7" t="n">
        <v>0.47</v>
      </c>
      <c r="J335" s="8" t="n">
        <f aca="false">IF(I335=0,0,(G335*H335)/I335)</f>
        <v>0.0702127659574468</v>
      </c>
      <c r="K335" s="9" t="n">
        <f aca="false">IF(J335=0,0,(J335-MIN(J$5:J$654))/(MAX(J$5:J$654)-MIN(J$5:J$654)))</f>
        <v>0.0278622087132725</v>
      </c>
      <c r="L335" s="10" t="str">
        <f aca="false">IF(K335=0,"Very Low",IF(K335&gt;=0.6,"Very High",IF(K335&gt;=0.4,"High",IF(K335&gt;=0.2,"Moderate",IF(K335&gt;=0.1,"Low","Very Low")))))</f>
        <v>Very Low</v>
      </c>
    </row>
    <row r="336" customFormat="false" ht="15" hidden="false" customHeight="false" outlineLevel="0" collapsed="false">
      <c r="A336" s="4" t="n">
        <v>332</v>
      </c>
      <c r="B336" s="4" t="n">
        <v>259</v>
      </c>
      <c r="C336" s="5" t="s">
        <v>383</v>
      </c>
      <c r="D336" s="4" t="s">
        <v>19</v>
      </c>
      <c r="E336" s="4" t="s">
        <v>20</v>
      </c>
      <c r="F336" s="6" t="s">
        <v>25</v>
      </c>
      <c r="G336" s="7" t="n">
        <v>0.04</v>
      </c>
      <c r="H336" s="7" t="n">
        <v>0.7</v>
      </c>
      <c r="I336" s="7" t="n">
        <v>0.3</v>
      </c>
      <c r="J336" s="8" t="n">
        <f aca="false">IF(I336=0,0,(G336*H336)/I336)</f>
        <v>0.0933333333333333</v>
      </c>
      <c r="K336" s="9" t="n">
        <f aca="false">IF(J336=0,0,(J336-MIN(J$5:J$654))/(MAX(J$5:J$654)-MIN(J$5:J$654)))</f>
        <v>0.037037037037037</v>
      </c>
      <c r="L336" s="10" t="str">
        <f aca="false">IF(K336=0,"Very Low",IF(K336&gt;=0.6,"Very High",IF(K336&gt;=0.4,"High",IF(K336&gt;=0.2,"Moderate",IF(K336&gt;=0.1,"Low","Very Low")))))</f>
        <v>Very Low</v>
      </c>
    </row>
    <row r="337" customFormat="false" ht="15" hidden="false" customHeight="false" outlineLevel="0" collapsed="false">
      <c r="A337" s="4" t="n">
        <v>333</v>
      </c>
      <c r="B337" s="4" t="n">
        <v>259</v>
      </c>
      <c r="C337" s="5" t="s">
        <v>384</v>
      </c>
      <c r="D337" s="4" t="s">
        <v>23</v>
      </c>
      <c r="E337" s="4" t="s">
        <v>24</v>
      </c>
      <c r="F337" s="6" t="s">
        <v>25</v>
      </c>
      <c r="G337" s="7" t="n">
        <v>0.04</v>
      </c>
      <c r="H337" s="7" t="n">
        <v>0.7</v>
      </c>
      <c r="I337" s="7" t="n">
        <v>0.3</v>
      </c>
      <c r="J337" s="8" t="n">
        <f aca="false">IF(I337=0,0,(G337*H337)/I337)</f>
        <v>0.0933333333333333</v>
      </c>
      <c r="K337" s="9" t="n">
        <f aca="false">IF(J337=0,0,(J337-MIN(J$5:J$654))/(MAX(J$5:J$654)-MIN(J$5:J$654)))</f>
        <v>0.037037037037037</v>
      </c>
      <c r="L337" s="10" t="str">
        <f aca="false">IF(K337=0,"Very Low",IF(K337&gt;=0.6,"Very High",IF(K337&gt;=0.4,"High",IF(K337&gt;=0.2,"Moderate",IF(K337&gt;=0.1,"Low","Very Low")))))</f>
        <v>Very Low</v>
      </c>
    </row>
    <row r="338" customFormat="false" ht="15" hidden="false" customHeight="false" outlineLevel="0" collapsed="false">
      <c r="A338" s="4" t="n">
        <v>334</v>
      </c>
      <c r="B338" s="4" t="n">
        <v>260</v>
      </c>
      <c r="C338" s="5" t="s">
        <v>385</v>
      </c>
      <c r="D338" s="4" t="s">
        <v>59</v>
      </c>
      <c r="E338" s="4" t="s">
        <v>60</v>
      </c>
      <c r="F338" s="6" t="s">
        <v>17</v>
      </c>
      <c r="G338" s="7" t="n">
        <v>0.28</v>
      </c>
      <c r="H338" s="7" t="n">
        <v>0.18</v>
      </c>
      <c r="I338" s="7" t="n">
        <v>0.48</v>
      </c>
      <c r="J338" s="8" t="n">
        <f aca="false">IF(I338=0,0,(G338*H338)/I338)</f>
        <v>0.105</v>
      </c>
      <c r="K338" s="9" t="n">
        <f aca="false">IF(J338=0,0,(J338-MIN(J$5:J$654))/(MAX(J$5:J$654)-MIN(J$5:J$654)))</f>
        <v>0.0416666666666667</v>
      </c>
      <c r="L338" s="10" t="str">
        <f aca="false">IF(K338=0,"Very Low",IF(K338&gt;=0.6,"Very High",IF(K338&gt;=0.4,"High",IF(K338&gt;=0.2,"Moderate",IF(K338&gt;=0.1,"Low","Very Low")))))</f>
        <v>Very Low</v>
      </c>
    </row>
    <row r="339" customFormat="false" ht="15" hidden="false" customHeight="false" outlineLevel="0" collapsed="false">
      <c r="A339" s="4" t="n">
        <v>335</v>
      </c>
      <c r="B339" s="4" t="n">
        <v>261</v>
      </c>
      <c r="C339" s="5" t="s">
        <v>386</v>
      </c>
      <c r="D339" s="4" t="s">
        <v>59</v>
      </c>
      <c r="E339" s="4" t="s">
        <v>60</v>
      </c>
      <c r="F339" s="6" t="s">
        <v>25</v>
      </c>
      <c r="G339" s="7" t="n">
        <v>0.04</v>
      </c>
      <c r="H339" s="7" t="n">
        <v>0.71</v>
      </c>
      <c r="I339" s="7" t="n">
        <v>0.34</v>
      </c>
      <c r="J339" s="8" t="n">
        <f aca="false">IF(I339=0,0,(G339*H339)/I339)</f>
        <v>0.0835294117647059</v>
      </c>
      <c r="K339" s="9" t="n">
        <f aca="false">IF(J339=0,0,(J339-MIN(J$5:J$654))/(MAX(J$5:J$654)-MIN(J$5:J$654)))</f>
        <v>0.0331465919701214</v>
      </c>
      <c r="L339" s="10" t="str">
        <f aca="false">IF(K339=0,"Very Low",IF(K339&gt;=0.6,"Very High",IF(K339&gt;=0.4,"High",IF(K339&gt;=0.2,"Moderate",IF(K339&gt;=0.1,"Low","Very Low")))))</f>
        <v>Very Low</v>
      </c>
    </row>
    <row r="340" customFormat="false" ht="15" hidden="false" customHeight="false" outlineLevel="0" collapsed="false">
      <c r="A340" s="4" t="n">
        <v>336</v>
      </c>
      <c r="B340" s="4" t="n">
        <v>262</v>
      </c>
      <c r="C340" s="5" t="s">
        <v>387</v>
      </c>
      <c r="D340" s="4" t="s">
        <v>74</v>
      </c>
      <c r="E340" s="4" t="s">
        <v>60</v>
      </c>
      <c r="F340" s="6" t="s">
        <v>31</v>
      </c>
      <c r="G340" s="7" t="n">
        <v>0.41</v>
      </c>
      <c r="H340" s="7" t="n">
        <v>0.07</v>
      </c>
      <c r="I340" s="7" t="n">
        <v>0.51</v>
      </c>
      <c r="J340" s="8" t="n">
        <f aca="false">IF(I340=0,0,(G340*H340)/I340)</f>
        <v>0.0562745098039216</v>
      </c>
      <c r="K340" s="9" t="n">
        <f aca="false">IF(J340=0,0,(J340-MIN(J$5:J$654))/(MAX(J$5:J$654)-MIN(J$5:J$654)))</f>
        <v>0.0223311546840959</v>
      </c>
      <c r="L340" s="10" t="str">
        <f aca="false">IF(K340=0,"Very Low",IF(K340&gt;=0.6,"Very High",IF(K340&gt;=0.4,"High",IF(K340&gt;=0.2,"Moderate",IF(K340&gt;=0.1,"Low","Very Low")))))</f>
        <v>Very Low</v>
      </c>
    </row>
    <row r="341" customFormat="false" ht="15" hidden="false" customHeight="false" outlineLevel="0" collapsed="false">
      <c r="A341" s="4" t="n">
        <v>337</v>
      </c>
      <c r="B341" s="4" t="n">
        <v>263</v>
      </c>
      <c r="C341" s="5" t="s">
        <v>388</v>
      </c>
      <c r="D341" s="4" t="s">
        <v>59</v>
      </c>
      <c r="E341" s="4" t="s">
        <v>60</v>
      </c>
      <c r="F341" s="6" t="s">
        <v>25</v>
      </c>
      <c r="G341" s="7" t="n">
        <v>0.04</v>
      </c>
      <c r="H341" s="7" t="n">
        <v>0.78</v>
      </c>
      <c r="I341" s="7" t="n">
        <v>0.43</v>
      </c>
      <c r="J341" s="8" t="n">
        <f aca="false">IF(I341=0,0,(G341*H341)/I341)</f>
        <v>0.0725581395348837</v>
      </c>
      <c r="K341" s="9" t="n">
        <f aca="false">IF(J341=0,0,(J341-MIN(J$5:J$654))/(MAX(J$5:J$654)-MIN(J$5:J$654)))</f>
        <v>0.0287929125138428</v>
      </c>
      <c r="L341" s="10" t="str">
        <f aca="false">IF(K341=0,"Very Low",IF(K341&gt;=0.6,"Very High",IF(K341&gt;=0.4,"High",IF(K341&gt;=0.2,"Moderate",IF(K341&gt;=0.1,"Low","Very Low")))))</f>
        <v>Very Low</v>
      </c>
    </row>
    <row r="342" customFormat="false" ht="15" hidden="false" customHeight="false" outlineLevel="0" collapsed="false">
      <c r="A342" s="4" t="n">
        <v>338</v>
      </c>
      <c r="B342" s="4" t="n">
        <v>263</v>
      </c>
      <c r="C342" s="5" t="s">
        <v>389</v>
      </c>
      <c r="D342" s="4" t="s">
        <v>59</v>
      </c>
      <c r="E342" s="4" t="s">
        <v>60</v>
      </c>
      <c r="F342" s="6" t="s">
        <v>25</v>
      </c>
      <c r="G342" s="7" t="n">
        <v>0.04</v>
      </c>
      <c r="H342" s="7" t="n">
        <v>0.68</v>
      </c>
      <c r="I342" s="7" t="n">
        <v>0.37</v>
      </c>
      <c r="J342" s="8" t="n">
        <f aca="false">IF(I342=0,0,(G342*H342)/I342)</f>
        <v>0.0735135135135135</v>
      </c>
      <c r="K342" s="9" t="n">
        <f aca="false">IF(J342=0,0,(J342-MIN(J$5:J$654))/(MAX(J$5:J$654)-MIN(J$5:J$654)))</f>
        <v>0.0291720291720292</v>
      </c>
      <c r="L342" s="10" t="str">
        <f aca="false">IF(K342=0,"Very Low",IF(K342&gt;=0.6,"Very High",IF(K342&gt;=0.4,"High",IF(K342&gt;=0.2,"Moderate",IF(K342&gt;=0.1,"Low","Very Low")))))</f>
        <v>Very Low</v>
      </c>
    </row>
    <row r="343" customFormat="false" ht="15" hidden="false" customHeight="false" outlineLevel="0" collapsed="false">
      <c r="A343" s="4" t="n">
        <v>339</v>
      </c>
      <c r="B343" s="4" t="n">
        <v>264</v>
      </c>
      <c r="C343" s="5" t="s">
        <v>390</v>
      </c>
      <c r="D343" s="4" t="s">
        <v>40</v>
      </c>
      <c r="E343" s="4" t="s">
        <v>20</v>
      </c>
      <c r="F343" s="6" t="s">
        <v>27</v>
      </c>
      <c r="G343" s="7" t="n">
        <v>0.025</v>
      </c>
      <c r="H343" s="7" t="n">
        <v>0.9</v>
      </c>
      <c r="I343" s="7" t="n">
        <v>0.34</v>
      </c>
      <c r="J343" s="8" t="n">
        <f aca="false">IF(I343=0,0,(G343*H343)/I343)</f>
        <v>0.0661764705882353</v>
      </c>
      <c r="K343" s="9" t="n">
        <f aca="false">IF(J343=0,0,(J343-MIN(J$5:J$654))/(MAX(J$5:J$654)-MIN(J$5:J$654)))</f>
        <v>0.0262605042016807</v>
      </c>
      <c r="L343" s="10" t="str">
        <f aca="false">IF(K343=0,"Very Low",IF(K343&gt;=0.6,"Very High",IF(K343&gt;=0.4,"High",IF(K343&gt;=0.2,"Moderate",IF(K343&gt;=0.1,"Low","Very Low")))))</f>
        <v>Very Low</v>
      </c>
    </row>
    <row r="344" customFormat="false" ht="15" hidden="false" customHeight="false" outlineLevel="0" collapsed="false">
      <c r="A344" s="4" t="n">
        <v>340</v>
      </c>
      <c r="B344" s="4" t="n">
        <v>264</v>
      </c>
      <c r="C344" s="5" t="s">
        <v>391</v>
      </c>
      <c r="D344" s="4" t="s">
        <v>59</v>
      </c>
      <c r="E344" s="4" t="s">
        <v>60</v>
      </c>
      <c r="F344" s="6" t="s">
        <v>25</v>
      </c>
      <c r="G344" s="7" t="n">
        <v>0.04</v>
      </c>
      <c r="H344" s="7" t="n">
        <v>0.58</v>
      </c>
      <c r="I344" s="7" t="n">
        <v>0.35</v>
      </c>
      <c r="J344" s="8" t="n">
        <f aca="false">IF(I344=0,0,(G344*H344)/I344)</f>
        <v>0.0662857142857143</v>
      </c>
      <c r="K344" s="9" t="n">
        <f aca="false">IF(J344=0,0,(J344-MIN(J$5:J$654))/(MAX(J$5:J$654)-MIN(J$5:J$654)))</f>
        <v>0.0263038548752834</v>
      </c>
      <c r="L344" s="10" t="str">
        <f aca="false">IF(K344=0,"Very Low",IF(K344&gt;=0.6,"Very High",IF(K344&gt;=0.4,"High",IF(K344&gt;=0.2,"Moderate",IF(K344&gt;=0.1,"Low","Very Low")))))</f>
        <v>Very Low</v>
      </c>
    </row>
    <row r="345" customFormat="false" ht="15" hidden="false" customHeight="false" outlineLevel="0" collapsed="false">
      <c r="A345" s="4" t="n">
        <v>341</v>
      </c>
      <c r="B345" s="4" t="n">
        <v>265</v>
      </c>
      <c r="C345" s="5" t="s">
        <v>392</v>
      </c>
      <c r="D345" s="4" t="s">
        <v>95</v>
      </c>
      <c r="E345" s="4" t="s">
        <v>20</v>
      </c>
      <c r="F345" s="6" t="s">
        <v>25</v>
      </c>
      <c r="G345" s="7" t="n">
        <v>0.04</v>
      </c>
      <c r="H345" s="7" t="n">
        <v>0.77</v>
      </c>
      <c r="I345" s="7" t="n">
        <v>0.51</v>
      </c>
      <c r="J345" s="8" t="n">
        <f aca="false">IF(I345=0,0,(G345*H345)/I345)</f>
        <v>0.0603921568627451</v>
      </c>
      <c r="K345" s="9" t="n">
        <f aca="false">IF(J345=0,0,(J345-MIN(J$5:J$654))/(MAX(J$5:J$654)-MIN(J$5:J$654)))</f>
        <v>0.0239651416122004</v>
      </c>
      <c r="L345" s="10" t="str">
        <f aca="false">IF(K345=0,"Very Low",IF(K345&gt;=0.6,"Very High",IF(K345&gt;=0.4,"High",IF(K345&gt;=0.2,"Moderate",IF(K345&gt;=0.1,"Low","Very Low")))))</f>
        <v>Very Low</v>
      </c>
    </row>
    <row r="346" customFormat="false" ht="15" hidden="false" customHeight="false" outlineLevel="0" collapsed="false">
      <c r="A346" s="4" t="n">
        <v>342</v>
      </c>
      <c r="B346" s="4" t="n">
        <v>266</v>
      </c>
      <c r="C346" s="5" t="s">
        <v>393</v>
      </c>
      <c r="D346" s="4" t="s">
        <v>59</v>
      </c>
      <c r="E346" s="4" t="s">
        <v>60</v>
      </c>
      <c r="F346" s="6" t="s">
        <v>25</v>
      </c>
      <c r="G346" s="7" t="n">
        <v>0.04</v>
      </c>
      <c r="H346" s="7" t="n">
        <v>0.62</v>
      </c>
      <c r="I346" s="7" t="n">
        <v>0.49</v>
      </c>
      <c r="J346" s="8" t="n">
        <f aca="false">IF(I346=0,0,(G346*H346)/I346)</f>
        <v>0.0506122448979592</v>
      </c>
      <c r="K346" s="9" t="n">
        <f aca="false">IF(J346=0,0,(J346-MIN(J$5:J$654))/(MAX(J$5:J$654)-MIN(J$5:J$654)))</f>
        <v>0.0200842241658568</v>
      </c>
      <c r="L346" s="10" t="str">
        <f aca="false">IF(K346=0,"Very Low",IF(K346&gt;=0.6,"Very High",IF(K346&gt;=0.4,"High",IF(K346&gt;=0.2,"Moderate",IF(K346&gt;=0.1,"Low","Very Low")))))</f>
        <v>Very Low</v>
      </c>
    </row>
    <row r="347" customFormat="false" ht="15" hidden="false" customHeight="false" outlineLevel="0" collapsed="false">
      <c r="A347" s="4" t="n">
        <v>343</v>
      </c>
      <c r="B347" s="4" t="n">
        <v>267</v>
      </c>
      <c r="C347" s="5" t="s">
        <v>394</v>
      </c>
      <c r="D347" s="4" t="s">
        <v>36</v>
      </c>
      <c r="E347" s="4" t="s">
        <v>24</v>
      </c>
      <c r="F347" s="6" t="s">
        <v>25</v>
      </c>
      <c r="G347" s="7" t="n">
        <v>0.04</v>
      </c>
      <c r="H347" s="7" t="n">
        <v>0.4</v>
      </c>
      <c r="I347" s="7" t="n">
        <v>0.34</v>
      </c>
      <c r="J347" s="8" t="n">
        <f aca="false">IF(I347=0,0,(G347*H347)/I347)</f>
        <v>0.0470588235294118</v>
      </c>
      <c r="K347" s="9" t="n">
        <f aca="false">IF(J347=0,0,(J347-MIN(J$5:J$654))/(MAX(J$5:J$654)-MIN(J$5:J$654)))</f>
        <v>0.0186741363211951</v>
      </c>
      <c r="L347" s="10" t="str">
        <f aca="false">IF(K347=0,"Very Low",IF(K347&gt;=0.6,"Very High",IF(K347&gt;=0.4,"High",IF(K347&gt;=0.2,"Moderate",IF(K347&gt;=0.1,"Low","Very Low")))))</f>
        <v>Very Low</v>
      </c>
    </row>
    <row r="348" customFormat="false" ht="15" hidden="false" customHeight="false" outlineLevel="0" collapsed="false">
      <c r="A348" s="4" t="n">
        <v>344</v>
      </c>
      <c r="B348" s="4" t="n">
        <v>267</v>
      </c>
      <c r="C348" s="5" t="s">
        <v>395</v>
      </c>
      <c r="D348" s="4" t="s">
        <v>36</v>
      </c>
      <c r="E348" s="4" t="s">
        <v>24</v>
      </c>
      <c r="F348" s="6" t="s">
        <v>25</v>
      </c>
      <c r="G348" s="7" t="n">
        <v>0.04</v>
      </c>
      <c r="H348" s="7" t="n">
        <v>0.4</v>
      </c>
      <c r="I348" s="7" t="n">
        <v>0.34</v>
      </c>
      <c r="J348" s="8" t="n">
        <f aca="false">IF(I348=0,0,(G348*H348)/I348)</f>
        <v>0.0470588235294118</v>
      </c>
      <c r="K348" s="9" t="n">
        <f aca="false">IF(J348=0,0,(J348-MIN(J$5:J$654))/(MAX(J$5:J$654)-MIN(J$5:J$654)))</f>
        <v>0.0186741363211951</v>
      </c>
      <c r="L348" s="10" t="str">
        <f aca="false">IF(K348=0,"Very Low",IF(K348&gt;=0.6,"Very High",IF(K348&gt;=0.4,"High",IF(K348&gt;=0.2,"Moderate",IF(K348&gt;=0.1,"Low","Very Low")))))</f>
        <v>Very Low</v>
      </c>
    </row>
    <row r="349" customFormat="false" ht="15" hidden="false" customHeight="false" outlineLevel="0" collapsed="false">
      <c r="A349" s="4" t="n">
        <v>345</v>
      </c>
      <c r="B349" s="4" t="n">
        <v>268</v>
      </c>
      <c r="C349" s="5" t="s">
        <v>396</v>
      </c>
      <c r="D349" s="4" t="s">
        <v>36</v>
      </c>
      <c r="E349" s="4" t="s">
        <v>24</v>
      </c>
      <c r="F349" s="6" t="s">
        <v>27</v>
      </c>
      <c r="G349" s="7" t="n">
        <v>0.025</v>
      </c>
      <c r="H349" s="7" t="n">
        <v>0.77</v>
      </c>
      <c r="I349" s="7" t="n">
        <v>0.46</v>
      </c>
      <c r="J349" s="8" t="n">
        <f aca="false">IF(I349=0,0,(G349*H349)/I349)</f>
        <v>0.0418478260869565</v>
      </c>
      <c r="K349" s="9" t="n">
        <f aca="false">IF(J349=0,0,(J349-MIN(J$5:J$654))/(MAX(J$5:J$654)-MIN(J$5:J$654)))</f>
        <v>0.0166062801932367</v>
      </c>
      <c r="L349" s="10" t="str">
        <f aca="false">IF(K349=0,"Very Low",IF(K349&gt;=0.6,"Very High",IF(K349&gt;=0.4,"High",IF(K349&gt;=0.2,"Moderate",IF(K349&gt;=0.1,"Low","Very Low")))))</f>
        <v>Very Low</v>
      </c>
    </row>
    <row r="350" customFormat="false" ht="15" hidden="false" customHeight="false" outlineLevel="0" collapsed="false">
      <c r="A350" s="4" t="n">
        <v>346</v>
      </c>
      <c r="B350" s="4" t="n">
        <v>269</v>
      </c>
      <c r="C350" s="5" t="s">
        <v>397</v>
      </c>
      <c r="D350" s="4" t="s">
        <v>106</v>
      </c>
      <c r="E350" s="4" t="s">
        <v>87</v>
      </c>
      <c r="F350" s="6" t="s">
        <v>25</v>
      </c>
      <c r="G350" s="7" t="n">
        <v>0.04</v>
      </c>
      <c r="H350" s="7" t="n">
        <v>0.49</v>
      </c>
      <c r="I350" s="7" t="n">
        <v>0.51</v>
      </c>
      <c r="J350" s="8" t="n">
        <f aca="false">IF(I350=0,0,(G350*H350)/I350)</f>
        <v>0.0384313725490196</v>
      </c>
      <c r="K350" s="9" t="n">
        <f aca="false">IF(J350=0,0,(J350-MIN(J$5:J$654))/(MAX(J$5:J$654)-MIN(J$5:J$654)))</f>
        <v>0.0152505446623094</v>
      </c>
      <c r="L350" s="10" t="str">
        <f aca="false">IF(K350=0,"Very Low",IF(K350&gt;=0.6,"Very High",IF(K350&gt;=0.4,"High",IF(K350&gt;=0.2,"Moderate",IF(K350&gt;=0.1,"Low","Very Low")))))</f>
        <v>Very Low</v>
      </c>
    </row>
    <row r="351" customFormat="false" ht="15" hidden="false" customHeight="false" outlineLevel="0" collapsed="false">
      <c r="A351" s="4" t="n">
        <v>347</v>
      </c>
      <c r="B351" s="4" t="n">
        <v>270</v>
      </c>
      <c r="C351" s="5" t="s">
        <v>398</v>
      </c>
      <c r="D351" s="4" t="s">
        <v>40</v>
      </c>
      <c r="E351" s="4" t="s">
        <v>20</v>
      </c>
      <c r="F351" s="6" t="s">
        <v>25</v>
      </c>
      <c r="G351" s="7" t="n">
        <v>0.04</v>
      </c>
      <c r="H351" s="7" t="n">
        <v>0.11</v>
      </c>
      <c r="I351" s="7" t="n">
        <v>0.32</v>
      </c>
      <c r="J351" s="8" t="n">
        <f aca="false">IF(I351=0,0,(G351*H351)/I351)</f>
        <v>0.01375</v>
      </c>
      <c r="K351" s="9" t="n">
        <f aca="false">IF(J351=0,0,(J351-MIN(J$5:J$654))/(MAX(J$5:J$654)-MIN(J$5:J$654)))</f>
        <v>0.00545634920634921</v>
      </c>
      <c r="L351" s="10" t="str">
        <f aca="false">IF(K351=0,"Very Low",IF(K351&gt;=0.6,"Very High",IF(K351&gt;=0.4,"High",IF(K351&gt;=0.2,"Moderate",IF(K351&gt;=0.1,"Low","Very Low")))))</f>
        <v>Very Low</v>
      </c>
    </row>
    <row r="352" customFormat="false" ht="15" hidden="false" customHeight="false" outlineLevel="0" collapsed="false">
      <c r="A352" s="4" t="n">
        <v>348</v>
      </c>
      <c r="B352" s="4" t="n">
        <v>271</v>
      </c>
      <c r="C352" s="5" t="s">
        <v>399</v>
      </c>
      <c r="D352" s="4" t="s">
        <v>74</v>
      </c>
      <c r="E352" s="4" t="s">
        <v>60</v>
      </c>
      <c r="F352" s="6" t="s">
        <v>25</v>
      </c>
      <c r="G352" s="7" t="n">
        <v>0.04</v>
      </c>
      <c r="H352" s="7" t="n">
        <v>0.12</v>
      </c>
      <c r="I352" s="7" t="n">
        <v>0.38</v>
      </c>
      <c r="J352" s="8" t="n">
        <f aca="false">IF(I352=0,0,(G352*H352)/I352)</f>
        <v>0.0126315789473684</v>
      </c>
      <c r="K352" s="9" t="n">
        <f aca="false">IF(J352=0,0,(J352-MIN(J$5:J$654))/(MAX(J$5:J$654)-MIN(J$5:J$654)))</f>
        <v>0.0050125313283208</v>
      </c>
      <c r="L352" s="10" t="str">
        <f aca="false">IF(K352=0,"Very Low",IF(K352&gt;=0.6,"Very High",IF(K352&gt;=0.4,"High",IF(K352&gt;=0.2,"Moderate",IF(K352&gt;=0.1,"Low","Very Low")))))</f>
        <v>Very Low</v>
      </c>
    </row>
    <row r="353" customFormat="false" ht="15" hidden="false" customHeight="false" outlineLevel="0" collapsed="false">
      <c r="A353" s="4" t="n">
        <v>349</v>
      </c>
      <c r="B353" s="4" t="n">
        <v>272</v>
      </c>
      <c r="C353" s="5" t="s">
        <v>400</v>
      </c>
      <c r="D353" s="4" t="s">
        <v>401</v>
      </c>
      <c r="E353" s="4" t="s">
        <v>16</v>
      </c>
      <c r="F353" s="6" t="s">
        <v>17</v>
      </c>
      <c r="G353" s="7" t="n">
        <v>0</v>
      </c>
      <c r="H353" s="7" t="n">
        <v>1</v>
      </c>
      <c r="I353" s="7" t="n">
        <v>0.51</v>
      </c>
      <c r="J353" s="8" t="n">
        <f aca="false">IF(I353=0,0,(G353*H353)/I353)</f>
        <v>0</v>
      </c>
      <c r="K353" s="9" t="n">
        <f aca="false">IF(J353=0,0,(J353-MIN(J$5:J$654))/(MAX(J$5:J$654)-MIN(J$5:J$654)))</f>
        <v>0</v>
      </c>
      <c r="L353" s="10" t="str">
        <f aca="false">IF(K353=0,"Very Low",IF(K353&gt;=0.6,"Very High",IF(K353&gt;=0.4,"High",IF(K353&gt;=0.2,"Moderate",IF(K353&gt;=0.1,"Low","Very Low")))))</f>
        <v>Very Low</v>
      </c>
    </row>
    <row r="354" customFormat="false" ht="15" hidden="false" customHeight="false" outlineLevel="0" collapsed="false">
      <c r="A354" s="4" t="n">
        <v>350</v>
      </c>
      <c r="B354" s="4" t="n">
        <v>272</v>
      </c>
      <c r="C354" s="5" t="s">
        <v>402</v>
      </c>
      <c r="D354" s="4" t="s">
        <v>44</v>
      </c>
      <c r="E354" s="4" t="s">
        <v>30</v>
      </c>
      <c r="F354" s="6" t="s">
        <v>31</v>
      </c>
      <c r="G354" s="7" t="n">
        <v>0</v>
      </c>
      <c r="H354" s="7" t="n">
        <v>0.63</v>
      </c>
      <c r="I354" s="7" t="n">
        <v>0.54</v>
      </c>
      <c r="J354" s="8" t="n">
        <f aca="false">IF(I354=0,0,(G354*H354)/I354)</f>
        <v>0</v>
      </c>
      <c r="K354" s="9" t="n">
        <f aca="false">IF(J354=0,0,(J354-MIN(J$5:J$654))/(MAX(J$5:J$654)-MIN(J$5:J$654)))</f>
        <v>0</v>
      </c>
      <c r="L354" s="10" t="str">
        <f aca="false">IF(K354=0,"Very Low",IF(K354&gt;=0.6,"Very High",IF(K354&gt;=0.4,"High",IF(K354&gt;=0.2,"Moderate",IF(K354&gt;=0.1,"Low","Very Low")))))</f>
        <v>Very Low</v>
      </c>
    </row>
    <row r="355" customFormat="false" ht="15" hidden="false" customHeight="false" outlineLevel="0" collapsed="false">
      <c r="A355" s="4" t="n">
        <v>351</v>
      </c>
      <c r="B355" s="4" t="n">
        <v>272</v>
      </c>
      <c r="C355" s="5" t="s">
        <v>403</v>
      </c>
      <c r="D355" s="4" t="s">
        <v>74</v>
      </c>
      <c r="E355" s="4" t="s">
        <v>60</v>
      </c>
      <c r="F355" s="6" t="s">
        <v>17</v>
      </c>
      <c r="G355" s="7" t="n">
        <v>0</v>
      </c>
      <c r="H355" s="7" t="n">
        <v>0.79</v>
      </c>
      <c r="I355" s="7" t="n">
        <v>0.38</v>
      </c>
      <c r="J355" s="8" t="n">
        <f aca="false">IF(I355=0,0,(G355*H355)/I355)</f>
        <v>0</v>
      </c>
      <c r="K355" s="9" t="n">
        <f aca="false">IF(J355=0,0,(J355-MIN(J$5:J$654))/(MAX(J$5:J$654)-MIN(J$5:J$654)))</f>
        <v>0</v>
      </c>
      <c r="L355" s="10" t="str">
        <f aca="false">IF(K355=0,"Very Low",IF(K355&gt;=0.6,"Very High",IF(K355&gt;=0.4,"High",IF(K355&gt;=0.2,"Moderate",IF(K355&gt;=0.1,"Low","Very Low")))))</f>
        <v>Very Low</v>
      </c>
    </row>
    <row r="356" customFormat="false" ht="15" hidden="false" customHeight="false" outlineLevel="0" collapsed="false">
      <c r="A356" s="4" t="n">
        <v>352</v>
      </c>
      <c r="B356" s="4" t="n">
        <v>272</v>
      </c>
      <c r="C356" s="5" t="s">
        <v>404</v>
      </c>
      <c r="D356" s="4" t="s">
        <v>19</v>
      </c>
      <c r="E356" s="4" t="s">
        <v>20</v>
      </c>
      <c r="F356" s="6" t="s">
        <v>17</v>
      </c>
      <c r="G356" s="7" t="n">
        <v>0</v>
      </c>
      <c r="H356" s="7" t="n">
        <v>0.97</v>
      </c>
      <c r="I356" s="7" t="n">
        <v>0.44</v>
      </c>
      <c r="J356" s="8" t="n">
        <f aca="false">IF(I356=0,0,(G356*H356)/I356)</f>
        <v>0</v>
      </c>
      <c r="K356" s="9" t="n">
        <f aca="false">IF(J356=0,0,(J356-MIN(J$5:J$654))/(MAX(J$5:J$654)-MIN(J$5:J$654)))</f>
        <v>0</v>
      </c>
      <c r="L356" s="10" t="str">
        <f aca="false">IF(K356=0,"Very Low",IF(K356&gt;=0.6,"Very High",IF(K356&gt;=0.4,"High",IF(K356&gt;=0.2,"Moderate",IF(K356&gt;=0.1,"Low","Very Low")))))</f>
        <v>Very Low</v>
      </c>
    </row>
    <row r="357" customFormat="false" ht="15" hidden="false" customHeight="false" outlineLevel="0" collapsed="false">
      <c r="A357" s="4" t="n">
        <v>353</v>
      </c>
      <c r="B357" s="4" t="n">
        <v>272</v>
      </c>
      <c r="C357" s="5" t="s">
        <v>405</v>
      </c>
      <c r="D357" s="4" t="s">
        <v>106</v>
      </c>
      <c r="E357" s="4" t="s">
        <v>87</v>
      </c>
      <c r="F357" s="6" t="s">
        <v>31</v>
      </c>
      <c r="G357" s="7" t="n">
        <v>0</v>
      </c>
      <c r="H357" s="7" t="n">
        <v>0.28</v>
      </c>
      <c r="I357" s="7" t="n">
        <v>0.45</v>
      </c>
      <c r="J357" s="8" t="n">
        <f aca="false">IF(I357=0,0,(G357*H357)/I357)</f>
        <v>0</v>
      </c>
      <c r="K357" s="9" t="n">
        <f aca="false">IF(J357=0,0,(J357-MIN(J$5:J$654))/(MAX(J$5:J$654)-MIN(J$5:J$654)))</f>
        <v>0</v>
      </c>
      <c r="L357" s="10" t="str">
        <f aca="false">IF(K357=0,"Very Low",IF(K357&gt;=0.6,"Very High",IF(K357&gt;=0.4,"High",IF(K357&gt;=0.2,"Moderate",IF(K357&gt;=0.1,"Low","Very Low")))))</f>
        <v>Very Low</v>
      </c>
    </row>
    <row r="358" customFormat="false" ht="15" hidden="false" customHeight="false" outlineLevel="0" collapsed="false">
      <c r="A358" s="4" t="n">
        <v>354</v>
      </c>
      <c r="B358" s="4" t="n">
        <v>272</v>
      </c>
      <c r="C358" s="5" t="s">
        <v>406</v>
      </c>
      <c r="D358" s="4" t="s">
        <v>40</v>
      </c>
      <c r="E358" s="4" t="s">
        <v>20</v>
      </c>
      <c r="F358" s="6" t="s">
        <v>34</v>
      </c>
      <c r="G358" s="7" t="n">
        <v>0</v>
      </c>
      <c r="H358" s="7" t="n">
        <v>0.82</v>
      </c>
      <c r="I358" s="7" t="n">
        <v>0.32</v>
      </c>
      <c r="J358" s="8" t="n">
        <f aca="false">IF(I358=0,0,(G358*H358)/I358)</f>
        <v>0</v>
      </c>
      <c r="K358" s="9" t="n">
        <f aca="false">IF(J358=0,0,(J358-MIN(J$5:J$654))/(MAX(J$5:J$654)-MIN(J$5:J$654)))</f>
        <v>0</v>
      </c>
      <c r="L358" s="10" t="str">
        <f aca="false">IF(K358=0,"Very Low",IF(K358&gt;=0.6,"Very High",IF(K358&gt;=0.4,"High",IF(K358&gt;=0.2,"Moderate",IF(K358&gt;=0.1,"Low","Very Low")))))</f>
        <v>Very Low</v>
      </c>
    </row>
    <row r="359" customFormat="false" ht="15" hidden="false" customHeight="false" outlineLevel="0" collapsed="false">
      <c r="A359" s="4" t="n">
        <v>355</v>
      </c>
      <c r="B359" s="4" t="n">
        <v>272</v>
      </c>
      <c r="C359" s="5" t="s">
        <v>407</v>
      </c>
      <c r="D359" s="4" t="s">
        <v>106</v>
      </c>
      <c r="E359" s="4" t="s">
        <v>87</v>
      </c>
      <c r="F359" s="6" t="s">
        <v>25</v>
      </c>
      <c r="G359" s="7" t="n">
        <v>0</v>
      </c>
      <c r="H359" s="7" t="n">
        <v>0.66</v>
      </c>
      <c r="I359" s="7" t="n">
        <v>0.47</v>
      </c>
      <c r="J359" s="8" t="n">
        <f aca="false">IF(I359=0,0,(G359*H359)/I359)</f>
        <v>0</v>
      </c>
      <c r="K359" s="9" t="n">
        <f aca="false">IF(J359=0,0,(J359-MIN(J$5:J$654))/(MAX(J$5:J$654)-MIN(J$5:J$654)))</f>
        <v>0</v>
      </c>
      <c r="L359" s="10" t="str">
        <f aca="false">IF(K359=0,"Very Low",IF(K359&gt;=0.6,"Very High",IF(K359&gt;=0.4,"High",IF(K359&gt;=0.2,"Moderate",IF(K359&gt;=0.1,"Low","Very Low")))))</f>
        <v>Very Low</v>
      </c>
    </row>
    <row r="360" customFormat="false" ht="15" hidden="false" customHeight="false" outlineLevel="0" collapsed="false">
      <c r="A360" s="4" t="n">
        <v>356</v>
      </c>
      <c r="B360" s="4" t="n">
        <v>272</v>
      </c>
      <c r="C360" s="5" t="s">
        <v>408</v>
      </c>
      <c r="D360" s="4" t="s">
        <v>19</v>
      </c>
      <c r="E360" s="4" t="s">
        <v>20</v>
      </c>
      <c r="F360" s="6" t="s">
        <v>25</v>
      </c>
      <c r="G360" s="7" t="n">
        <v>0</v>
      </c>
      <c r="H360" s="7" t="n">
        <v>0.66</v>
      </c>
      <c r="I360" s="7" t="n">
        <v>0.47</v>
      </c>
      <c r="J360" s="8" t="n">
        <f aca="false">IF(I360=0,0,(G360*H360)/I360)</f>
        <v>0</v>
      </c>
      <c r="K360" s="9" t="n">
        <f aca="false">IF(J360=0,0,(J360-MIN(J$5:J$654))/(MAX(J$5:J$654)-MIN(J$5:J$654)))</f>
        <v>0</v>
      </c>
      <c r="L360" s="10" t="str">
        <f aca="false">IF(K360=0,"Very Low",IF(K360&gt;=0.6,"Very High",IF(K360&gt;=0.4,"High",IF(K360&gt;=0.2,"Moderate",IF(K360&gt;=0.1,"Low","Very Low")))))</f>
        <v>Very Low</v>
      </c>
    </row>
    <row r="361" customFormat="false" ht="15" hidden="false" customHeight="false" outlineLevel="0" collapsed="false">
      <c r="A361" s="4" t="n">
        <v>357</v>
      </c>
      <c r="B361" s="4" t="n">
        <v>272</v>
      </c>
      <c r="C361" s="5" t="s">
        <v>409</v>
      </c>
      <c r="D361" s="4" t="s">
        <v>79</v>
      </c>
      <c r="E361" s="4" t="s">
        <v>60</v>
      </c>
      <c r="F361" s="6" t="s">
        <v>17</v>
      </c>
      <c r="G361" s="7" t="n">
        <v>0.28</v>
      </c>
      <c r="H361" s="7" t="n">
        <v>0.46</v>
      </c>
      <c r="I361" s="7" t="n">
        <v>0.52</v>
      </c>
      <c r="J361" s="8" t="n">
        <f aca="false">IF(I361=0,0,(G361*H361)/I361)</f>
        <v>0.247692307692308</v>
      </c>
      <c r="K361" s="9" t="n">
        <f aca="false">IF(J361=0,0,(J361-MIN(J$5:J$654))/(MAX(J$5:J$654)-MIN(J$5:J$654)))</f>
        <v>0.0982905982905983</v>
      </c>
      <c r="L361" s="10" t="str">
        <f aca="false">IF(K361=0,"Very Low",IF(K361&gt;=0.6,"Very High",IF(K361&gt;=0.4,"High",IF(K361&gt;=0.2,"Moderate",IF(K361&gt;=0.1,"Low","Very Low")))))</f>
        <v>Very Low</v>
      </c>
    </row>
    <row r="362" customFormat="false" ht="15" hidden="false" customHeight="false" outlineLevel="0" collapsed="false">
      <c r="A362" s="4" t="n">
        <v>358</v>
      </c>
      <c r="B362" s="4" t="n">
        <v>272</v>
      </c>
      <c r="C362" s="5" t="s">
        <v>410</v>
      </c>
      <c r="D362" s="4" t="s">
        <v>44</v>
      </c>
      <c r="E362" s="4" t="s">
        <v>30</v>
      </c>
      <c r="F362" s="6" t="s">
        <v>31</v>
      </c>
      <c r="G362" s="7" t="n">
        <v>0</v>
      </c>
      <c r="H362" s="7" t="n">
        <v>0.48</v>
      </c>
      <c r="I362" s="7" t="n">
        <v>0.46</v>
      </c>
      <c r="J362" s="8" t="n">
        <f aca="false">IF(I362=0,0,(G362*H362)/I362)</f>
        <v>0</v>
      </c>
      <c r="K362" s="9" t="n">
        <f aca="false">IF(J362=0,0,(J362-MIN(J$5:J$654))/(MAX(J$5:J$654)-MIN(J$5:J$654)))</f>
        <v>0</v>
      </c>
      <c r="L362" s="10" t="str">
        <f aca="false">IF(K362=0,"Very Low",IF(K362&gt;=0.6,"Very High",IF(K362&gt;=0.4,"High",IF(K362&gt;=0.2,"Moderate",IF(K362&gt;=0.1,"Low","Very Low")))))</f>
        <v>Very Low</v>
      </c>
    </row>
    <row r="363" customFormat="false" ht="15" hidden="false" customHeight="false" outlineLevel="0" collapsed="false">
      <c r="A363" s="4" t="n">
        <v>359</v>
      </c>
      <c r="B363" s="4" t="n">
        <v>272</v>
      </c>
      <c r="C363" s="5" t="s">
        <v>411</v>
      </c>
      <c r="D363" s="4" t="s">
        <v>59</v>
      </c>
      <c r="E363" s="4" t="s">
        <v>60</v>
      </c>
      <c r="F363" s="6" t="s">
        <v>31</v>
      </c>
      <c r="G363" s="7" t="n">
        <v>0</v>
      </c>
      <c r="H363" s="7" t="n">
        <v>0.55</v>
      </c>
      <c r="I363" s="7" t="n">
        <v>0.45</v>
      </c>
      <c r="J363" s="8" t="n">
        <f aca="false">IF(I363=0,0,(G363*H363)/I363)</f>
        <v>0</v>
      </c>
      <c r="K363" s="9" t="n">
        <f aca="false">IF(J363=0,0,(J363-MIN(J$5:J$654))/(MAX(J$5:J$654)-MIN(J$5:J$654)))</f>
        <v>0</v>
      </c>
      <c r="L363" s="10" t="str">
        <f aca="false">IF(K363=0,"Very Low",IF(K363&gt;=0.6,"Very High",IF(K363&gt;=0.4,"High",IF(K363&gt;=0.2,"Moderate",IF(K363&gt;=0.1,"Low","Very Low")))))</f>
        <v>Very Low</v>
      </c>
    </row>
    <row r="364" customFormat="false" ht="15" hidden="false" customHeight="false" outlineLevel="0" collapsed="false">
      <c r="A364" s="4" t="n">
        <v>360</v>
      </c>
      <c r="B364" s="4" t="n">
        <v>272</v>
      </c>
      <c r="C364" s="5" t="s">
        <v>412</v>
      </c>
      <c r="D364" s="4" t="s">
        <v>59</v>
      </c>
      <c r="E364" s="4" t="s">
        <v>60</v>
      </c>
      <c r="F364" s="6" t="s">
        <v>31</v>
      </c>
      <c r="G364" s="7" t="n">
        <v>0</v>
      </c>
      <c r="H364" s="7" t="n">
        <v>0.45</v>
      </c>
      <c r="I364" s="7" t="n">
        <v>0.32</v>
      </c>
      <c r="J364" s="8" t="n">
        <f aca="false">IF(I364=0,0,(G364*H364)/I364)</f>
        <v>0</v>
      </c>
      <c r="K364" s="9" t="n">
        <f aca="false">IF(J364=0,0,(J364-MIN(J$5:J$654))/(MAX(J$5:J$654)-MIN(J$5:J$654)))</f>
        <v>0</v>
      </c>
      <c r="L364" s="10" t="str">
        <f aca="false">IF(K364=0,"Very Low",IF(K364&gt;=0.6,"Very High",IF(K364&gt;=0.4,"High",IF(K364&gt;=0.2,"Moderate",IF(K364&gt;=0.1,"Low","Very Low")))))</f>
        <v>Very Low</v>
      </c>
    </row>
    <row r="365" customFormat="false" ht="15" hidden="false" customHeight="false" outlineLevel="0" collapsed="false">
      <c r="A365" s="4" t="n">
        <v>361</v>
      </c>
      <c r="B365" s="4" t="n">
        <v>272</v>
      </c>
      <c r="C365" s="5" t="s">
        <v>413</v>
      </c>
      <c r="D365" s="4" t="s">
        <v>29</v>
      </c>
      <c r="E365" s="4" t="s">
        <v>30</v>
      </c>
      <c r="F365" s="6" t="s">
        <v>31</v>
      </c>
      <c r="G365" s="7" t="n">
        <v>0</v>
      </c>
      <c r="H365" s="7" t="n">
        <v>0.52</v>
      </c>
      <c r="I365" s="7" t="n">
        <v>0.37</v>
      </c>
      <c r="J365" s="8" t="n">
        <f aca="false">IF(I365=0,0,(G365*H365)/I365)</f>
        <v>0</v>
      </c>
      <c r="K365" s="9" t="n">
        <f aca="false">IF(J365=0,0,(J365-MIN(J$5:J$654))/(MAX(J$5:J$654)-MIN(J$5:J$654)))</f>
        <v>0</v>
      </c>
      <c r="L365" s="10" t="str">
        <f aca="false">IF(K365=0,"Very Low",IF(K365&gt;=0.6,"Very High",IF(K365&gt;=0.4,"High",IF(K365&gt;=0.2,"Moderate",IF(K365&gt;=0.1,"Low","Very Low")))))</f>
        <v>Very Low</v>
      </c>
    </row>
    <row r="366" customFormat="false" ht="15" hidden="false" customHeight="false" outlineLevel="0" collapsed="false">
      <c r="A366" s="4" t="n">
        <v>362</v>
      </c>
      <c r="B366" s="4" t="n">
        <v>272</v>
      </c>
      <c r="C366" s="5" t="s">
        <v>414</v>
      </c>
      <c r="D366" s="4" t="s">
        <v>74</v>
      </c>
      <c r="E366" s="4" t="s">
        <v>60</v>
      </c>
      <c r="F366" s="6" t="s">
        <v>31</v>
      </c>
      <c r="G366" s="7" t="n">
        <v>0</v>
      </c>
      <c r="H366" s="7" t="n">
        <v>0.46</v>
      </c>
      <c r="I366" s="7" t="n">
        <v>0.37</v>
      </c>
      <c r="J366" s="8" t="n">
        <f aca="false">IF(I366=0,0,(G366*H366)/I366)</f>
        <v>0</v>
      </c>
      <c r="K366" s="9" t="n">
        <f aca="false">IF(J366=0,0,(J366-MIN(J$5:J$654))/(MAX(J$5:J$654)-MIN(J$5:J$654)))</f>
        <v>0</v>
      </c>
      <c r="L366" s="10" t="str">
        <f aca="false">IF(K366=0,"Very Low",IF(K366&gt;=0.6,"Very High",IF(K366&gt;=0.4,"High",IF(K366&gt;=0.2,"Moderate",IF(K366&gt;=0.1,"Low","Very Low")))))</f>
        <v>Very Low</v>
      </c>
    </row>
    <row r="367" customFormat="false" ht="15" hidden="false" customHeight="false" outlineLevel="0" collapsed="false">
      <c r="A367" s="4" t="n">
        <v>363</v>
      </c>
      <c r="B367" s="4" t="n">
        <v>272</v>
      </c>
      <c r="C367" s="5" t="s">
        <v>415</v>
      </c>
      <c r="D367" s="4" t="s">
        <v>44</v>
      </c>
      <c r="E367" s="4" t="s">
        <v>30</v>
      </c>
      <c r="F367" s="6" t="s">
        <v>31</v>
      </c>
      <c r="G367" s="7" t="n">
        <v>0</v>
      </c>
      <c r="H367" s="7" t="n">
        <v>0.69</v>
      </c>
      <c r="I367" s="7" t="n">
        <v>0.5</v>
      </c>
      <c r="J367" s="8" t="n">
        <f aca="false">IF(I367=0,0,(G367*H367)/I367)</f>
        <v>0</v>
      </c>
      <c r="K367" s="9" t="n">
        <f aca="false">IF(J367=0,0,(J367-MIN(J$5:J$654))/(MAX(J$5:J$654)-MIN(J$5:J$654)))</f>
        <v>0</v>
      </c>
      <c r="L367" s="10" t="str">
        <f aca="false">IF(K367=0,"Very Low",IF(K367&gt;=0.6,"Very High",IF(K367&gt;=0.4,"High",IF(K367&gt;=0.2,"Moderate",IF(K367&gt;=0.1,"Low","Very Low")))))</f>
        <v>Very Low</v>
      </c>
    </row>
    <row r="368" customFormat="false" ht="15" hidden="false" customHeight="false" outlineLevel="0" collapsed="false">
      <c r="A368" s="4" t="n">
        <v>364</v>
      </c>
      <c r="B368" s="4" t="n">
        <v>272</v>
      </c>
      <c r="C368" s="5" t="s">
        <v>416</v>
      </c>
      <c r="D368" s="4" t="s">
        <v>95</v>
      </c>
      <c r="E368" s="4" t="s">
        <v>20</v>
      </c>
      <c r="F368" s="6" t="s">
        <v>17</v>
      </c>
      <c r="G368" s="7" t="n">
        <v>0</v>
      </c>
      <c r="H368" s="7" t="n">
        <v>0.73</v>
      </c>
      <c r="I368" s="7" t="n">
        <v>0.44</v>
      </c>
      <c r="J368" s="8" t="n">
        <f aca="false">IF(I368=0,0,(G368*H368)/I368)</f>
        <v>0</v>
      </c>
      <c r="K368" s="9" t="n">
        <f aca="false">IF(J368=0,0,(J368-MIN(J$5:J$654))/(MAX(J$5:J$654)-MIN(J$5:J$654)))</f>
        <v>0</v>
      </c>
      <c r="L368" s="10" t="str">
        <f aca="false">IF(K368=0,"Very Low",IF(K368&gt;=0.6,"Very High",IF(K368&gt;=0.4,"High",IF(K368&gt;=0.2,"Moderate",IF(K368&gt;=0.1,"Low","Very Low")))))</f>
        <v>Very Low</v>
      </c>
    </row>
    <row r="369" customFormat="false" ht="15" hidden="false" customHeight="false" outlineLevel="0" collapsed="false">
      <c r="A369" s="4" t="n">
        <v>365</v>
      </c>
      <c r="B369" s="4" t="n">
        <v>272</v>
      </c>
      <c r="C369" s="5" t="s">
        <v>417</v>
      </c>
      <c r="D369" s="4" t="s">
        <v>44</v>
      </c>
      <c r="E369" s="4" t="s">
        <v>30</v>
      </c>
      <c r="F369" s="6" t="s">
        <v>31</v>
      </c>
      <c r="G369" s="7" t="n">
        <v>0</v>
      </c>
      <c r="H369" s="7" t="n">
        <v>0.37</v>
      </c>
      <c r="I369" s="7" t="n">
        <v>0.43</v>
      </c>
      <c r="J369" s="8" t="n">
        <f aca="false">IF(I369=0,0,(G369*H369)/I369)</f>
        <v>0</v>
      </c>
      <c r="K369" s="9" t="n">
        <f aca="false">IF(J369=0,0,(J369-MIN(J$5:J$654))/(MAX(J$5:J$654)-MIN(J$5:J$654)))</f>
        <v>0</v>
      </c>
      <c r="L369" s="10" t="str">
        <f aca="false">IF(K369=0,"Very Low",IF(K369&gt;=0.6,"Very High",IF(K369&gt;=0.4,"High",IF(K369&gt;=0.2,"Moderate",IF(K369&gt;=0.1,"Low","Very Low")))))</f>
        <v>Very Low</v>
      </c>
    </row>
    <row r="370" customFormat="false" ht="15" hidden="false" customHeight="false" outlineLevel="0" collapsed="false">
      <c r="A370" s="4" t="n">
        <v>366</v>
      </c>
      <c r="B370" s="4" t="n">
        <v>272</v>
      </c>
      <c r="C370" s="5" t="s">
        <v>418</v>
      </c>
      <c r="D370" s="4" t="s">
        <v>106</v>
      </c>
      <c r="E370" s="4" t="s">
        <v>87</v>
      </c>
      <c r="F370" s="6" t="s">
        <v>31</v>
      </c>
      <c r="G370" s="7" t="n">
        <v>0</v>
      </c>
      <c r="H370" s="7" t="n">
        <v>0.56</v>
      </c>
      <c r="I370" s="7" t="n">
        <v>0.44</v>
      </c>
      <c r="J370" s="8" t="n">
        <f aca="false">IF(I370=0,0,(G370*H370)/I370)</f>
        <v>0</v>
      </c>
      <c r="K370" s="9" t="n">
        <f aca="false">IF(J370=0,0,(J370-MIN(J$5:J$654))/(MAX(J$5:J$654)-MIN(J$5:J$654)))</f>
        <v>0</v>
      </c>
      <c r="L370" s="10" t="str">
        <f aca="false">IF(K370=0,"Very Low",IF(K370&gt;=0.6,"Very High",IF(K370&gt;=0.4,"High",IF(K370&gt;=0.2,"Moderate",IF(K370&gt;=0.1,"Low","Very Low")))))</f>
        <v>Very Low</v>
      </c>
    </row>
    <row r="371" customFormat="false" ht="15" hidden="false" customHeight="false" outlineLevel="0" collapsed="false">
      <c r="A371" s="4" t="n">
        <v>367</v>
      </c>
      <c r="B371" s="4" t="n">
        <v>272</v>
      </c>
      <c r="C371" s="5" t="s">
        <v>419</v>
      </c>
      <c r="D371" s="4" t="s">
        <v>59</v>
      </c>
      <c r="E371" s="4" t="s">
        <v>60</v>
      </c>
      <c r="F371" s="6" t="s">
        <v>17</v>
      </c>
      <c r="G371" s="7" t="n">
        <v>0</v>
      </c>
      <c r="H371" s="7" t="n">
        <v>0.49</v>
      </c>
      <c r="I371" s="7" t="n">
        <v>0.35</v>
      </c>
      <c r="J371" s="8" t="n">
        <f aca="false">IF(I371=0,0,(G371*H371)/I371)</f>
        <v>0</v>
      </c>
      <c r="K371" s="9" t="n">
        <f aca="false">IF(J371=0,0,(J371-MIN(J$5:J$654))/(MAX(J$5:J$654)-MIN(J$5:J$654)))</f>
        <v>0</v>
      </c>
      <c r="L371" s="10" t="str">
        <f aca="false">IF(K371=0,"Very Low",IF(K371&gt;=0.6,"Very High",IF(K371&gt;=0.4,"High",IF(K371&gt;=0.2,"Moderate",IF(K371&gt;=0.1,"Low","Very Low")))))</f>
        <v>Very Low</v>
      </c>
    </row>
    <row r="372" customFormat="false" ht="15" hidden="false" customHeight="false" outlineLevel="0" collapsed="false">
      <c r="A372" s="4" t="n">
        <v>368</v>
      </c>
      <c r="B372" s="4" t="n">
        <v>272</v>
      </c>
      <c r="C372" s="5" t="s">
        <v>420</v>
      </c>
      <c r="D372" s="4" t="s">
        <v>420</v>
      </c>
      <c r="E372" s="4" t="s">
        <v>60</v>
      </c>
      <c r="F372" s="6" t="s">
        <v>17</v>
      </c>
      <c r="G372" s="7" t="n">
        <v>0</v>
      </c>
      <c r="H372" s="7" t="n">
        <v>0.79</v>
      </c>
      <c r="I372" s="7" t="n">
        <v>0.48</v>
      </c>
      <c r="J372" s="8" t="n">
        <f aca="false">IF(I372=0,0,(G372*H372)/I372)</f>
        <v>0</v>
      </c>
      <c r="K372" s="9" t="n">
        <f aca="false">IF(J372=0,0,(J372-MIN(J$5:J$654))/(MAX(J$5:J$654)-MIN(J$5:J$654)))</f>
        <v>0</v>
      </c>
      <c r="L372" s="10" t="str">
        <f aca="false">IF(K372=0,"Very Low",IF(K372&gt;=0.6,"Very High",IF(K372&gt;=0.4,"High",IF(K372&gt;=0.2,"Moderate",IF(K372&gt;=0.1,"Low","Very Low")))))</f>
        <v>Very Low</v>
      </c>
    </row>
    <row r="373" customFormat="false" ht="15" hidden="false" customHeight="false" outlineLevel="0" collapsed="false">
      <c r="A373" s="4" t="n">
        <v>369</v>
      </c>
      <c r="B373" s="4" t="n">
        <v>272</v>
      </c>
      <c r="C373" s="5" t="s">
        <v>421</v>
      </c>
      <c r="D373" s="4" t="s">
        <v>279</v>
      </c>
      <c r="E373" s="4" t="s">
        <v>20</v>
      </c>
      <c r="F373" s="6" t="s">
        <v>25</v>
      </c>
      <c r="G373" s="7" t="n">
        <v>0</v>
      </c>
      <c r="H373" s="7" t="n">
        <v>0.3</v>
      </c>
      <c r="I373" s="7" t="n">
        <v>0.32</v>
      </c>
      <c r="J373" s="8" t="n">
        <f aca="false">IF(I373=0,0,(G373*H373)/I373)</f>
        <v>0</v>
      </c>
      <c r="K373" s="9" t="n">
        <f aca="false">IF(J373=0,0,(J373-MIN(J$5:J$654))/(MAX(J$5:J$654)-MIN(J$5:J$654)))</f>
        <v>0</v>
      </c>
      <c r="L373" s="10" t="str">
        <f aca="false">IF(K373=0,"Very Low",IF(K373&gt;=0.6,"Very High",IF(K373&gt;=0.4,"High",IF(K373&gt;=0.2,"Moderate",IF(K373&gt;=0.1,"Low","Very Low")))))</f>
        <v>Very Low</v>
      </c>
    </row>
    <row r="374" customFormat="false" ht="15" hidden="false" customHeight="false" outlineLevel="0" collapsed="false">
      <c r="A374" s="4" t="n">
        <v>370</v>
      </c>
      <c r="B374" s="4" t="n">
        <v>272</v>
      </c>
      <c r="C374" s="5" t="s">
        <v>422</v>
      </c>
      <c r="D374" s="4" t="s">
        <v>83</v>
      </c>
      <c r="E374" s="4" t="s">
        <v>24</v>
      </c>
      <c r="F374" s="6" t="s">
        <v>17</v>
      </c>
      <c r="G374" s="7" t="n">
        <v>0</v>
      </c>
      <c r="H374" s="7" t="n">
        <v>0.99</v>
      </c>
      <c r="I374" s="7" t="n">
        <v>0.49</v>
      </c>
      <c r="J374" s="8" t="n">
        <f aca="false">IF(I374=0,0,(G374*H374)/I374)</f>
        <v>0</v>
      </c>
      <c r="K374" s="9" t="n">
        <f aca="false">IF(J374=0,0,(J374-MIN(J$5:J$654))/(MAX(J$5:J$654)-MIN(J$5:J$654)))</f>
        <v>0</v>
      </c>
      <c r="L374" s="10" t="str">
        <f aca="false">IF(K374=0,"Very Low",IF(K374&gt;=0.6,"Very High",IF(K374&gt;=0.4,"High",IF(K374&gt;=0.2,"Moderate",IF(K374&gt;=0.1,"Low","Very Low")))))</f>
        <v>Very Low</v>
      </c>
    </row>
    <row r="375" customFormat="false" ht="15" hidden="false" customHeight="false" outlineLevel="0" collapsed="false">
      <c r="A375" s="4" t="n">
        <v>371</v>
      </c>
      <c r="B375" s="4" t="n">
        <v>272</v>
      </c>
      <c r="C375" s="5" t="s">
        <v>423</v>
      </c>
      <c r="D375" s="4" t="s">
        <v>106</v>
      </c>
      <c r="E375" s="4" t="s">
        <v>87</v>
      </c>
      <c r="F375" s="6" t="s">
        <v>31</v>
      </c>
      <c r="G375" s="7" t="n">
        <v>0</v>
      </c>
      <c r="H375" s="7" t="n">
        <v>0.1</v>
      </c>
      <c r="I375" s="7" t="n">
        <v>0.49</v>
      </c>
      <c r="J375" s="8" t="n">
        <f aca="false">IF(I375=0,0,(G375*H375)/I375)</f>
        <v>0</v>
      </c>
      <c r="K375" s="9" t="n">
        <f aca="false">IF(J375=0,0,(J375-MIN(J$5:J$654))/(MAX(J$5:J$654)-MIN(J$5:J$654)))</f>
        <v>0</v>
      </c>
      <c r="L375" s="10" t="str">
        <f aca="false">IF(K375=0,"Very Low",IF(K375&gt;=0.6,"Very High",IF(K375&gt;=0.4,"High",IF(K375&gt;=0.2,"Moderate",IF(K375&gt;=0.1,"Low","Very Low")))))</f>
        <v>Very Low</v>
      </c>
    </row>
    <row r="376" customFormat="false" ht="15" hidden="false" customHeight="false" outlineLevel="0" collapsed="false">
      <c r="A376" s="4" t="n">
        <v>372</v>
      </c>
      <c r="B376" s="4" t="n">
        <v>272</v>
      </c>
      <c r="C376" s="5" t="s">
        <v>424</v>
      </c>
      <c r="D376" s="4" t="s">
        <v>44</v>
      </c>
      <c r="E376" s="4" t="s">
        <v>30</v>
      </c>
      <c r="F376" s="6" t="s">
        <v>31</v>
      </c>
      <c r="G376" s="7" t="n">
        <v>0</v>
      </c>
      <c r="H376" s="7" t="n">
        <v>0.25</v>
      </c>
      <c r="I376" s="7" t="n">
        <v>0.47</v>
      </c>
      <c r="J376" s="8" t="n">
        <f aca="false">IF(I376=0,0,(G376*H376)/I376)</f>
        <v>0</v>
      </c>
      <c r="K376" s="9" t="n">
        <f aca="false">IF(J376=0,0,(J376-MIN(J$5:J$654))/(MAX(J$5:J$654)-MIN(J$5:J$654)))</f>
        <v>0</v>
      </c>
      <c r="L376" s="10" t="str">
        <f aca="false">IF(K376=0,"Very Low",IF(K376&gt;=0.6,"Very High",IF(K376&gt;=0.4,"High",IF(K376&gt;=0.2,"Moderate",IF(K376&gt;=0.1,"Low","Very Low")))))</f>
        <v>Very Low</v>
      </c>
    </row>
    <row r="377" customFormat="false" ht="15" hidden="false" customHeight="false" outlineLevel="0" collapsed="false">
      <c r="A377" s="4" t="n">
        <v>373</v>
      </c>
      <c r="B377" s="4" t="n">
        <v>272</v>
      </c>
      <c r="C377" s="5" t="s">
        <v>425</v>
      </c>
      <c r="D377" s="4" t="s">
        <v>83</v>
      </c>
      <c r="E377" s="4" t="s">
        <v>24</v>
      </c>
      <c r="F377" s="6" t="s">
        <v>31</v>
      </c>
      <c r="G377" s="7" t="n">
        <v>0.82</v>
      </c>
      <c r="H377" s="7" t="n">
        <v>0</v>
      </c>
      <c r="I377" s="7" t="n">
        <v>0.44</v>
      </c>
      <c r="J377" s="8" t="n">
        <f aca="false">IF(I377=0,0,(G377*H377)/I377)</f>
        <v>0</v>
      </c>
      <c r="K377" s="9" t="n">
        <f aca="false">IF(J377=0,0,(J377-MIN(J$5:J$654))/(MAX(J$5:J$654)-MIN(J$5:J$654)))</f>
        <v>0</v>
      </c>
      <c r="L377" s="10" t="str">
        <f aca="false">IF(K377=0,"Very Low",IF(K377&gt;=0.6,"Very High",IF(K377&gt;=0.4,"High",IF(K377&gt;=0.2,"Moderate",IF(K377&gt;=0.1,"Low","Very Low")))))</f>
        <v>Very Low</v>
      </c>
    </row>
    <row r="378" customFormat="false" ht="15" hidden="false" customHeight="false" outlineLevel="0" collapsed="false">
      <c r="A378" s="4" t="n">
        <v>374</v>
      </c>
      <c r="B378" s="4" t="n">
        <v>272</v>
      </c>
      <c r="C378" s="5" t="s">
        <v>426</v>
      </c>
      <c r="D378" s="4" t="s">
        <v>279</v>
      </c>
      <c r="E378" s="4" t="s">
        <v>20</v>
      </c>
      <c r="F378" s="6" t="s">
        <v>31</v>
      </c>
      <c r="G378" s="7" t="n">
        <v>0</v>
      </c>
      <c r="H378" s="7" t="n">
        <v>0.47</v>
      </c>
      <c r="I378" s="7" t="n">
        <v>0.48</v>
      </c>
      <c r="J378" s="8" t="n">
        <f aca="false">IF(I378=0,0,(G378*H378)/I378)</f>
        <v>0</v>
      </c>
      <c r="K378" s="9" t="n">
        <f aca="false">IF(J378=0,0,(J378-MIN(J$5:J$654))/(MAX(J$5:J$654)-MIN(J$5:J$654)))</f>
        <v>0</v>
      </c>
      <c r="L378" s="10" t="str">
        <f aca="false">IF(K378=0,"Very Low",IF(K378&gt;=0.6,"Very High",IF(K378&gt;=0.4,"High",IF(K378&gt;=0.2,"Moderate",IF(K378&gt;=0.1,"Low","Very Low")))))</f>
        <v>Very Low</v>
      </c>
    </row>
    <row r="379" customFormat="false" ht="15" hidden="false" customHeight="false" outlineLevel="0" collapsed="false">
      <c r="A379" s="4" t="n">
        <v>375</v>
      </c>
      <c r="B379" s="4" t="n">
        <v>272</v>
      </c>
      <c r="C379" s="5" t="s">
        <v>427</v>
      </c>
      <c r="D379" s="4" t="s">
        <v>158</v>
      </c>
      <c r="E379" s="4" t="s">
        <v>16</v>
      </c>
      <c r="F379" s="6" t="s">
        <v>17</v>
      </c>
      <c r="G379" s="7" t="n">
        <v>0</v>
      </c>
      <c r="H379" s="7" t="n">
        <v>0.91</v>
      </c>
      <c r="I379" s="7" t="n">
        <v>0.45</v>
      </c>
      <c r="J379" s="8" t="n">
        <f aca="false">IF(I379=0,0,(G379*H379)/I379)</f>
        <v>0</v>
      </c>
      <c r="K379" s="9" t="n">
        <f aca="false">IF(J379=0,0,(J379-MIN(J$5:J$654))/(MAX(J$5:J$654)-MIN(J$5:J$654)))</f>
        <v>0</v>
      </c>
      <c r="L379" s="10" t="str">
        <f aca="false">IF(K379=0,"Very Low",IF(K379&gt;=0.6,"Very High",IF(K379&gt;=0.4,"High",IF(K379&gt;=0.2,"Moderate",IF(K379&gt;=0.1,"Low","Very Low")))))</f>
        <v>Very Low</v>
      </c>
    </row>
    <row r="380" customFormat="false" ht="15" hidden="false" customHeight="false" outlineLevel="0" collapsed="false">
      <c r="A380" s="4" t="n">
        <v>376</v>
      </c>
      <c r="B380" s="4" t="n">
        <v>272</v>
      </c>
      <c r="C380" s="5" t="s">
        <v>428</v>
      </c>
      <c r="D380" s="4" t="s">
        <v>86</v>
      </c>
      <c r="E380" s="4" t="s">
        <v>87</v>
      </c>
      <c r="F380" s="6" t="s">
        <v>31</v>
      </c>
      <c r="G380" s="7" t="n">
        <v>0</v>
      </c>
      <c r="H380" s="7" t="n">
        <v>0.26</v>
      </c>
      <c r="I380" s="7" t="n">
        <v>0.42</v>
      </c>
      <c r="J380" s="8" t="n">
        <f aca="false">IF(I380=0,0,(G380*H380)/I380)</f>
        <v>0</v>
      </c>
      <c r="K380" s="9" t="n">
        <f aca="false">IF(J380=0,0,(J380-MIN(J$5:J$654))/(MAX(J$5:J$654)-MIN(J$5:J$654)))</f>
        <v>0</v>
      </c>
      <c r="L380" s="10" t="str">
        <f aca="false">IF(K380=0,"Very Low",IF(K380&gt;=0.6,"Very High",IF(K380&gt;=0.4,"High",IF(K380&gt;=0.2,"Moderate",IF(K380&gt;=0.1,"Low","Very Low")))))</f>
        <v>Very Low</v>
      </c>
    </row>
    <row r="381" customFormat="false" ht="15" hidden="false" customHeight="false" outlineLevel="0" collapsed="false">
      <c r="A381" s="4" t="n">
        <v>377</v>
      </c>
      <c r="B381" s="4" t="n">
        <v>272</v>
      </c>
      <c r="C381" s="5" t="s">
        <v>429</v>
      </c>
      <c r="D381" s="4" t="s">
        <v>279</v>
      </c>
      <c r="E381" s="4" t="s">
        <v>20</v>
      </c>
      <c r="F381" s="6" t="s">
        <v>31</v>
      </c>
      <c r="G381" s="7" t="n">
        <v>0</v>
      </c>
      <c r="H381" s="7" t="n">
        <v>0.29</v>
      </c>
      <c r="I381" s="7" t="n">
        <v>0.51</v>
      </c>
      <c r="J381" s="8" t="n">
        <f aca="false">IF(I381=0,0,(G381*H381)/I381)</f>
        <v>0</v>
      </c>
      <c r="K381" s="9" t="n">
        <f aca="false">IF(J381=0,0,(J381-MIN(J$5:J$654))/(MAX(J$5:J$654)-MIN(J$5:J$654)))</f>
        <v>0</v>
      </c>
      <c r="L381" s="10" t="str">
        <f aca="false">IF(K381=0,"Very Low",IF(K381&gt;=0.6,"Very High",IF(K381&gt;=0.4,"High",IF(K381&gt;=0.2,"Moderate",IF(K381&gt;=0.1,"Low","Very Low")))))</f>
        <v>Very Low</v>
      </c>
    </row>
    <row r="382" customFormat="false" ht="15" hidden="false" customHeight="false" outlineLevel="0" collapsed="false">
      <c r="A382" s="4" t="n">
        <v>378</v>
      </c>
      <c r="B382" s="4" t="n">
        <v>272</v>
      </c>
      <c r="C382" s="5" t="s">
        <v>430</v>
      </c>
      <c r="D382" s="4" t="s">
        <v>106</v>
      </c>
      <c r="E382" s="4" t="s">
        <v>87</v>
      </c>
      <c r="F382" s="6" t="s">
        <v>31</v>
      </c>
      <c r="G382" s="7" t="n">
        <v>0</v>
      </c>
      <c r="H382" s="7" t="n">
        <v>0.58</v>
      </c>
      <c r="I382" s="7" t="n">
        <v>0.43</v>
      </c>
      <c r="J382" s="8" t="n">
        <f aca="false">IF(I382=0,0,(G382*H382)/I382)</f>
        <v>0</v>
      </c>
      <c r="K382" s="9" t="n">
        <f aca="false">IF(J382=0,0,(J382-MIN(J$5:J$654))/(MAX(J$5:J$654)-MIN(J$5:J$654)))</f>
        <v>0</v>
      </c>
      <c r="L382" s="10" t="str">
        <f aca="false">IF(K382=0,"Very Low",IF(K382&gt;=0.6,"Very High",IF(K382&gt;=0.4,"High",IF(K382&gt;=0.2,"Moderate",IF(K382&gt;=0.1,"Low","Very Low")))))</f>
        <v>Very Low</v>
      </c>
    </row>
    <row r="383" customFormat="false" ht="15" hidden="false" customHeight="false" outlineLevel="0" collapsed="false">
      <c r="A383" s="4" t="n">
        <v>379</v>
      </c>
      <c r="B383" s="4" t="n">
        <v>272</v>
      </c>
      <c r="C383" s="5" t="s">
        <v>431</v>
      </c>
      <c r="D383" s="4" t="s">
        <v>36</v>
      </c>
      <c r="E383" s="4" t="s">
        <v>24</v>
      </c>
      <c r="F383" s="6" t="s">
        <v>31</v>
      </c>
      <c r="G383" s="7" t="n">
        <v>0</v>
      </c>
      <c r="H383" s="7" t="n">
        <v>0.43</v>
      </c>
      <c r="I383" s="7" t="n">
        <v>0.34</v>
      </c>
      <c r="J383" s="8" t="n">
        <f aca="false">IF(I383=0,0,(G383*H383)/I383)</f>
        <v>0</v>
      </c>
      <c r="K383" s="9" t="n">
        <f aca="false">IF(J383=0,0,(J383-MIN(J$5:J$654))/(MAX(J$5:J$654)-MIN(J$5:J$654)))</f>
        <v>0</v>
      </c>
      <c r="L383" s="10" t="str">
        <f aca="false">IF(K383=0,"Very Low",IF(K383&gt;=0.6,"Very High",IF(K383&gt;=0.4,"High",IF(K383&gt;=0.2,"Moderate",IF(K383&gt;=0.1,"Low","Very Low")))))</f>
        <v>Very Low</v>
      </c>
    </row>
    <row r="384" customFormat="false" ht="15" hidden="false" customHeight="false" outlineLevel="0" collapsed="false">
      <c r="A384" s="4" t="n">
        <v>380</v>
      </c>
      <c r="B384" s="4" t="n">
        <v>272</v>
      </c>
      <c r="C384" s="5" t="s">
        <v>432</v>
      </c>
      <c r="D384" s="4" t="s">
        <v>19</v>
      </c>
      <c r="E384" s="4" t="s">
        <v>20</v>
      </c>
      <c r="F384" s="6" t="s">
        <v>34</v>
      </c>
      <c r="G384" s="7" t="n">
        <v>0</v>
      </c>
      <c r="H384" s="7" t="n">
        <v>0.65</v>
      </c>
      <c r="I384" s="7" t="n">
        <v>0.44</v>
      </c>
      <c r="J384" s="8" t="n">
        <f aca="false">IF(I384=0,0,(G384*H384)/I384)</f>
        <v>0</v>
      </c>
      <c r="K384" s="9" t="n">
        <f aca="false">IF(J384=0,0,(J384-MIN(J$5:J$654))/(MAX(J$5:J$654)-MIN(J$5:J$654)))</f>
        <v>0</v>
      </c>
      <c r="L384" s="10" t="str">
        <f aca="false">IF(K384=0,"Very Low",IF(K384&gt;=0.6,"Very High",IF(K384&gt;=0.4,"High",IF(K384&gt;=0.2,"Moderate",IF(K384&gt;=0.1,"Low","Very Low")))))</f>
        <v>Very Low</v>
      </c>
    </row>
    <row r="385" customFormat="false" ht="15" hidden="false" customHeight="false" outlineLevel="0" collapsed="false">
      <c r="A385" s="4" t="n">
        <v>381</v>
      </c>
      <c r="B385" s="4" t="n">
        <v>272</v>
      </c>
      <c r="C385" s="5" t="s">
        <v>433</v>
      </c>
      <c r="D385" s="4" t="s">
        <v>106</v>
      </c>
      <c r="E385" s="4" t="s">
        <v>87</v>
      </c>
      <c r="F385" s="6" t="s">
        <v>31</v>
      </c>
      <c r="G385" s="7" t="n">
        <v>0</v>
      </c>
      <c r="H385" s="7" t="n">
        <v>0.41</v>
      </c>
      <c r="I385" s="7" t="n">
        <v>0.44</v>
      </c>
      <c r="J385" s="8" t="n">
        <f aca="false">IF(I385=0,0,(G385*H385)/I385)</f>
        <v>0</v>
      </c>
      <c r="K385" s="9" t="n">
        <f aca="false">IF(J385=0,0,(J385-MIN(J$5:J$654))/(MAX(J$5:J$654)-MIN(J$5:J$654)))</f>
        <v>0</v>
      </c>
      <c r="L385" s="10" t="str">
        <f aca="false">IF(K385=0,"Very Low",IF(K385&gt;=0.6,"Very High",IF(K385&gt;=0.4,"High",IF(K385&gt;=0.2,"Moderate",IF(K385&gt;=0.1,"Low","Very Low")))))</f>
        <v>Very Low</v>
      </c>
    </row>
    <row r="386" customFormat="false" ht="15" hidden="false" customHeight="false" outlineLevel="0" collapsed="false">
      <c r="A386" s="4" t="n">
        <v>382</v>
      </c>
      <c r="B386" s="4" t="n">
        <v>272</v>
      </c>
      <c r="C386" s="5" t="s">
        <v>434</v>
      </c>
      <c r="D386" s="4" t="s">
        <v>44</v>
      </c>
      <c r="E386" s="4" t="s">
        <v>30</v>
      </c>
      <c r="F386" s="6" t="s">
        <v>31</v>
      </c>
      <c r="G386" s="7" t="n">
        <v>0</v>
      </c>
      <c r="H386" s="7" t="n">
        <v>0.38</v>
      </c>
      <c r="I386" s="7" t="n">
        <v>0.39</v>
      </c>
      <c r="J386" s="8" t="n">
        <f aca="false">IF(I386=0,0,(G386*H386)/I386)</f>
        <v>0</v>
      </c>
      <c r="K386" s="9" t="n">
        <f aca="false">IF(J386=0,0,(J386-MIN(J$5:J$654))/(MAX(J$5:J$654)-MIN(J$5:J$654)))</f>
        <v>0</v>
      </c>
      <c r="L386" s="10" t="str">
        <f aca="false">IF(K386=0,"Very Low",IF(K386&gt;=0.6,"Very High",IF(K386&gt;=0.4,"High",IF(K386&gt;=0.2,"Moderate",IF(K386&gt;=0.1,"Low","Very Low")))))</f>
        <v>Very Low</v>
      </c>
    </row>
    <row r="387" customFormat="false" ht="15" hidden="false" customHeight="false" outlineLevel="0" collapsed="false">
      <c r="A387" s="4" t="n">
        <v>383</v>
      </c>
      <c r="B387" s="4" t="n">
        <v>272</v>
      </c>
      <c r="C387" s="5" t="s">
        <v>435</v>
      </c>
      <c r="D387" s="4" t="s">
        <v>86</v>
      </c>
      <c r="E387" s="4" t="s">
        <v>87</v>
      </c>
      <c r="F387" s="6" t="s">
        <v>31</v>
      </c>
      <c r="G387" s="7" t="n">
        <v>0</v>
      </c>
      <c r="H387" s="7" t="n">
        <v>0.32</v>
      </c>
      <c r="I387" s="7" t="n">
        <v>0.46</v>
      </c>
      <c r="J387" s="8" t="n">
        <f aca="false">IF(I387=0,0,(G387*H387)/I387)</f>
        <v>0</v>
      </c>
      <c r="K387" s="9" t="n">
        <f aca="false">IF(J387=0,0,(J387-MIN(J$5:J$654))/(MAX(J$5:J$654)-MIN(J$5:J$654)))</f>
        <v>0</v>
      </c>
      <c r="L387" s="10" t="str">
        <f aca="false">IF(K387=0,"Very Low",IF(K387&gt;=0.6,"Very High",IF(K387&gt;=0.4,"High",IF(K387&gt;=0.2,"Moderate",IF(K387&gt;=0.1,"Low","Very Low")))))</f>
        <v>Very Low</v>
      </c>
    </row>
    <row r="388" customFormat="false" ht="15" hidden="false" customHeight="false" outlineLevel="0" collapsed="false">
      <c r="A388" s="4" t="n">
        <v>384</v>
      </c>
      <c r="B388" s="4" t="n">
        <v>272</v>
      </c>
      <c r="C388" s="5" t="s">
        <v>436</v>
      </c>
      <c r="D388" s="4" t="s">
        <v>59</v>
      </c>
      <c r="E388" s="4" t="s">
        <v>60</v>
      </c>
      <c r="F388" s="6" t="s">
        <v>31</v>
      </c>
      <c r="G388" s="7" t="n">
        <v>0</v>
      </c>
      <c r="H388" s="7" t="n">
        <v>0.56</v>
      </c>
      <c r="I388" s="7" t="n">
        <v>0.47</v>
      </c>
      <c r="J388" s="8" t="n">
        <f aca="false">IF(I388=0,0,(G388*H388)/I388)</f>
        <v>0</v>
      </c>
      <c r="K388" s="9" t="n">
        <f aca="false">IF(J388=0,0,(J388-MIN(J$5:J$654))/(MAX(J$5:J$654)-MIN(J$5:J$654)))</f>
        <v>0</v>
      </c>
      <c r="L388" s="10" t="str">
        <f aca="false">IF(K388=0,"Very Low",IF(K388&gt;=0.6,"Very High",IF(K388&gt;=0.4,"High",IF(K388&gt;=0.2,"Moderate",IF(K388&gt;=0.1,"Low","Very Low")))))</f>
        <v>Very Low</v>
      </c>
    </row>
    <row r="389" customFormat="false" ht="15" hidden="false" customHeight="false" outlineLevel="0" collapsed="false">
      <c r="A389" s="4" t="n">
        <v>385</v>
      </c>
      <c r="B389" s="4" t="n">
        <v>272</v>
      </c>
      <c r="C389" s="5" t="s">
        <v>437</v>
      </c>
      <c r="D389" s="4" t="s">
        <v>279</v>
      </c>
      <c r="E389" s="4" t="s">
        <v>20</v>
      </c>
      <c r="F389" s="6" t="s">
        <v>31</v>
      </c>
      <c r="G389" s="7" t="n">
        <v>0</v>
      </c>
      <c r="H389" s="7" t="n">
        <v>0.27</v>
      </c>
      <c r="I389" s="7" t="n">
        <v>0.32</v>
      </c>
      <c r="J389" s="8" t="n">
        <f aca="false">IF(I389=0,0,(G389*H389)/I389)</f>
        <v>0</v>
      </c>
      <c r="K389" s="9" t="n">
        <f aca="false">IF(J389=0,0,(J389-MIN(J$5:J$654))/(MAX(J$5:J$654)-MIN(J$5:J$654)))</f>
        <v>0</v>
      </c>
      <c r="L389" s="10" t="str">
        <f aca="false">IF(K389=0,"Very Low",IF(K389&gt;=0.6,"Very High",IF(K389&gt;=0.4,"High",IF(K389&gt;=0.2,"Moderate",IF(K389&gt;=0.1,"Low","Very Low")))))</f>
        <v>Very Low</v>
      </c>
    </row>
    <row r="390" customFormat="false" ht="15" hidden="false" customHeight="false" outlineLevel="0" collapsed="false">
      <c r="A390" s="4" t="n">
        <v>386</v>
      </c>
      <c r="B390" s="4" t="n">
        <v>272</v>
      </c>
      <c r="C390" s="5" t="s">
        <v>438</v>
      </c>
      <c r="D390" s="4" t="s">
        <v>59</v>
      </c>
      <c r="E390" s="4" t="s">
        <v>60</v>
      </c>
      <c r="F390" s="6" t="s">
        <v>31</v>
      </c>
      <c r="G390" s="7" t="n">
        <v>0</v>
      </c>
      <c r="H390" s="7" t="n">
        <v>0.54</v>
      </c>
      <c r="I390" s="7" t="n">
        <v>0.52</v>
      </c>
      <c r="J390" s="8" t="n">
        <f aca="false">IF(I390=0,0,(G390*H390)/I390)</f>
        <v>0</v>
      </c>
      <c r="K390" s="9" t="n">
        <f aca="false">IF(J390=0,0,(J390-MIN(J$5:J$654))/(MAX(J$5:J$654)-MIN(J$5:J$654)))</f>
        <v>0</v>
      </c>
      <c r="L390" s="10" t="str">
        <f aca="false">IF(K390=0,"Very Low",IF(K390&gt;=0.6,"Very High",IF(K390&gt;=0.4,"High",IF(K390&gt;=0.2,"Moderate",IF(K390&gt;=0.1,"Low","Very Low")))))</f>
        <v>Very Low</v>
      </c>
    </row>
    <row r="391" customFormat="false" ht="15" hidden="false" customHeight="false" outlineLevel="0" collapsed="false">
      <c r="A391" s="4" t="n">
        <v>387</v>
      </c>
      <c r="B391" s="4" t="n">
        <v>272</v>
      </c>
      <c r="C391" s="5" t="s">
        <v>439</v>
      </c>
      <c r="D391" s="4" t="s">
        <v>279</v>
      </c>
      <c r="E391" s="4" t="s">
        <v>20</v>
      </c>
      <c r="F391" s="6" t="s">
        <v>31</v>
      </c>
      <c r="G391" s="7" t="n">
        <v>0</v>
      </c>
      <c r="H391" s="7" t="n">
        <v>0.37</v>
      </c>
      <c r="I391" s="7" t="n">
        <v>0.31</v>
      </c>
      <c r="J391" s="8" t="n">
        <f aca="false">IF(I391=0,0,(G391*H391)/I391)</f>
        <v>0</v>
      </c>
      <c r="K391" s="9" t="n">
        <f aca="false">IF(J391=0,0,(J391-MIN(J$5:J$654))/(MAX(J$5:J$654)-MIN(J$5:J$654)))</f>
        <v>0</v>
      </c>
      <c r="L391" s="10" t="str">
        <f aca="false">IF(K391=0,"Very Low",IF(K391&gt;=0.6,"Very High",IF(K391&gt;=0.4,"High",IF(K391&gt;=0.2,"Moderate",IF(K391&gt;=0.1,"Low","Very Low")))))</f>
        <v>Very Low</v>
      </c>
    </row>
    <row r="392" customFormat="false" ht="15" hidden="false" customHeight="false" outlineLevel="0" collapsed="false">
      <c r="A392" s="4" t="n">
        <v>388</v>
      </c>
      <c r="B392" s="4" t="n">
        <v>272</v>
      </c>
      <c r="C392" s="5" t="s">
        <v>440</v>
      </c>
      <c r="D392" s="4" t="s">
        <v>279</v>
      </c>
      <c r="E392" s="4" t="s">
        <v>20</v>
      </c>
      <c r="F392" s="6" t="s">
        <v>31</v>
      </c>
      <c r="G392" s="7" t="n">
        <v>0</v>
      </c>
      <c r="H392" s="7" t="n">
        <v>0.37</v>
      </c>
      <c r="I392" s="7" t="n">
        <v>0.32</v>
      </c>
      <c r="J392" s="8" t="n">
        <f aca="false">IF(I392=0,0,(G392*H392)/I392)</f>
        <v>0</v>
      </c>
      <c r="K392" s="9" t="n">
        <f aca="false">IF(J392=0,0,(J392-MIN(J$5:J$654))/(MAX(J$5:J$654)-MIN(J$5:J$654)))</f>
        <v>0</v>
      </c>
      <c r="L392" s="10" t="str">
        <f aca="false">IF(K392=0,"Very Low",IF(K392&gt;=0.6,"Very High",IF(K392&gt;=0.4,"High",IF(K392&gt;=0.2,"Moderate",IF(K392&gt;=0.1,"Low","Very Low")))))</f>
        <v>Very Low</v>
      </c>
    </row>
    <row r="393" customFormat="false" ht="15" hidden="false" customHeight="false" outlineLevel="0" collapsed="false">
      <c r="A393" s="4" t="n">
        <v>389</v>
      </c>
      <c r="B393" s="4" t="n">
        <v>272</v>
      </c>
      <c r="C393" s="5" t="s">
        <v>441</v>
      </c>
      <c r="D393" s="4" t="s">
        <v>106</v>
      </c>
      <c r="E393" s="4" t="s">
        <v>87</v>
      </c>
      <c r="F393" s="6" t="s">
        <v>31</v>
      </c>
      <c r="G393" s="7" t="n">
        <v>0</v>
      </c>
      <c r="H393" s="7" t="n">
        <v>0.44</v>
      </c>
      <c r="I393" s="7" t="n">
        <v>0.44</v>
      </c>
      <c r="J393" s="8" t="n">
        <f aca="false">IF(I393=0,0,(G393*H393)/I393)</f>
        <v>0</v>
      </c>
      <c r="K393" s="9" t="n">
        <f aca="false">IF(J393=0,0,(J393-MIN(J$5:J$654))/(MAX(J$5:J$654)-MIN(J$5:J$654)))</f>
        <v>0</v>
      </c>
      <c r="L393" s="10" t="str">
        <f aca="false">IF(K393=0,"Very Low",IF(K393&gt;=0.6,"Very High",IF(K393&gt;=0.4,"High",IF(K393&gt;=0.2,"Moderate",IF(K393&gt;=0.1,"Low","Very Low")))))</f>
        <v>Very Low</v>
      </c>
    </row>
    <row r="394" customFormat="false" ht="15" hidden="false" customHeight="false" outlineLevel="0" collapsed="false">
      <c r="A394" s="4" t="n">
        <v>390</v>
      </c>
      <c r="B394" s="4" t="n">
        <v>272</v>
      </c>
      <c r="C394" s="5" t="s">
        <v>442</v>
      </c>
      <c r="D394" s="4" t="s">
        <v>74</v>
      </c>
      <c r="E394" s="4" t="s">
        <v>60</v>
      </c>
      <c r="F394" s="6" t="s">
        <v>31</v>
      </c>
      <c r="G394" s="7" t="n">
        <v>0</v>
      </c>
      <c r="H394" s="7" t="n">
        <v>0.72</v>
      </c>
      <c r="I394" s="7" t="n">
        <v>0.52</v>
      </c>
      <c r="J394" s="8" t="n">
        <f aca="false">IF(I394=0,0,(G394*H394)/I394)</f>
        <v>0</v>
      </c>
      <c r="K394" s="9" t="n">
        <f aca="false">IF(J394=0,0,(J394-MIN(J$5:J$654))/(MAX(J$5:J$654)-MIN(J$5:J$654)))</f>
        <v>0</v>
      </c>
      <c r="L394" s="10" t="str">
        <f aca="false">IF(K394=0,"Very Low",IF(K394&gt;=0.6,"Very High",IF(K394&gt;=0.4,"High",IF(K394&gt;=0.2,"Moderate",IF(K394&gt;=0.1,"Low","Very Low")))))</f>
        <v>Very Low</v>
      </c>
    </row>
    <row r="395" customFormat="false" ht="15" hidden="false" customHeight="false" outlineLevel="0" collapsed="false">
      <c r="A395" s="4" t="n">
        <v>391</v>
      </c>
      <c r="B395" s="4" t="n">
        <v>272</v>
      </c>
      <c r="C395" s="5" t="s">
        <v>443</v>
      </c>
      <c r="D395" s="4" t="s">
        <v>106</v>
      </c>
      <c r="E395" s="4" t="s">
        <v>87</v>
      </c>
      <c r="F395" s="6" t="s">
        <v>31</v>
      </c>
      <c r="G395" s="7" t="n">
        <v>0</v>
      </c>
      <c r="H395" s="7" t="n">
        <v>0.32</v>
      </c>
      <c r="I395" s="7" t="n">
        <v>0.51</v>
      </c>
      <c r="J395" s="8" t="n">
        <f aca="false">IF(I395=0,0,(G395*H395)/I395)</f>
        <v>0</v>
      </c>
      <c r="K395" s="9" t="n">
        <f aca="false">IF(J395=0,0,(J395-MIN(J$5:J$654))/(MAX(J$5:J$654)-MIN(J$5:J$654)))</f>
        <v>0</v>
      </c>
      <c r="L395" s="10" t="str">
        <f aca="false">IF(K395=0,"Very Low",IF(K395&gt;=0.6,"Very High",IF(K395&gt;=0.4,"High",IF(K395&gt;=0.2,"Moderate",IF(K395&gt;=0.1,"Low","Very Low")))))</f>
        <v>Very Low</v>
      </c>
    </row>
    <row r="396" customFormat="false" ht="15" hidden="false" customHeight="false" outlineLevel="0" collapsed="false">
      <c r="A396" s="4" t="n">
        <v>392</v>
      </c>
      <c r="B396" s="4" t="n">
        <v>272</v>
      </c>
      <c r="C396" s="5" t="s">
        <v>444</v>
      </c>
      <c r="D396" s="4" t="s">
        <v>44</v>
      </c>
      <c r="E396" s="4" t="s">
        <v>30</v>
      </c>
      <c r="F396" s="6" t="s">
        <v>31</v>
      </c>
      <c r="G396" s="7" t="n">
        <v>0</v>
      </c>
      <c r="H396" s="7" t="n">
        <v>0.56</v>
      </c>
      <c r="I396" s="7" t="n">
        <v>0.48</v>
      </c>
      <c r="J396" s="8" t="n">
        <f aca="false">IF(I396=0,0,(G396*H396)/I396)</f>
        <v>0</v>
      </c>
      <c r="K396" s="9" t="n">
        <f aca="false">IF(J396=0,0,(J396-MIN(J$5:J$654))/(MAX(J$5:J$654)-MIN(J$5:J$654)))</f>
        <v>0</v>
      </c>
      <c r="L396" s="10" t="str">
        <f aca="false">IF(K396=0,"Very Low",IF(K396&gt;=0.6,"Very High",IF(K396&gt;=0.4,"High",IF(K396&gt;=0.2,"Moderate",IF(K396&gt;=0.1,"Low","Very Low")))))</f>
        <v>Very Low</v>
      </c>
    </row>
    <row r="397" customFormat="false" ht="15" hidden="false" customHeight="false" outlineLevel="0" collapsed="false">
      <c r="A397" s="4" t="n">
        <v>393</v>
      </c>
      <c r="B397" s="4" t="n">
        <v>272</v>
      </c>
      <c r="C397" s="5" t="s">
        <v>445</v>
      </c>
      <c r="D397" s="4" t="s">
        <v>201</v>
      </c>
      <c r="E397" s="4" t="s">
        <v>60</v>
      </c>
      <c r="F397" s="6" t="s">
        <v>17</v>
      </c>
      <c r="G397" s="7" t="n">
        <v>0</v>
      </c>
      <c r="H397" s="7" t="n">
        <v>0.79</v>
      </c>
      <c r="I397" s="7" t="n">
        <v>0.5</v>
      </c>
      <c r="J397" s="8" t="n">
        <f aca="false">IF(I397=0,0,(G397*H397)/I397)</f>
        <v>0</v>
      </c>
      <c r="K397" s="9" t="n">
        <f aca="false">IF(J397=0,0,(J397-MIN(J$5:J$654))/(MAX(J$5:J$654)-MIN(J$5:J$654)))</f>
        <v>0</v>
      </c>
      <c r="L397" s="10" t="str">
        <f aca="false">IF(K397=0,"Very Low",IF(K397&gt;=0.6,"Very High",IF(K397&gt;=0.4,"High",IF(K397&gt;=0.2,"Moderate",IF(K397&gt;=0.1,"Low","Very Low")))))</f>
        <v>Very Low</v>
      </c>
    </row>
    <row r="398" customFormat="false" ht="15" hidden="false" customHeight="false" outlineLevel="0" collapsed="false">
      <c r="A398" s="4" t="n">
        <v>394</v>
      </c>
      <c r="B398" s="4" t="n">
        <v>272</v>
      </c>
      <c r="C398" s="5" t="s">
        <v>446</v>
      </c>
      <c r="D398" s="4" t="s">
        <v>201</v>
      </c>
      <c r="E398" s="4" t="s">
        <v>60</v>
      </c>
      <c r="F398" s="6" t="s">
        <v>17</v>
      </c>
      <c r="G398" s="7" t="n">
        <v>0</v>
      </c>
      <c r="H398" s="7" t="n">
        <v>0.79</v>
      </c>
      <c r="I398" s="7" t="n">
        <v>0.5</v>
      </c>
      <c r="J398" s="8" t="n">
        <f aca="false">IF(I398=0,0,(G398*H398)/I398)</f>
        <v>0</v>
      </c>
      <c r="K398" s="9" t="n">
        <f aca="false">IF(J398=0,0,(J398-MIN(J$5:J$654))/(MAX(J$5:J$654)-MIN(J$5:J$654)))</f>
        <v>0</v>
      </c>
      <c r="L398" s="10" t="str">
        <f aca="false">IF(K398=0,"Very Low",IF(K398&gt;=0.6,"Very High",IF(K398&gt;=0.4,"High",IF(K398&gt;=0.2,"Moderate",IF(K398&gt;=0.1,"Low","Very Low")))))</f>
        <v>Very Low</v>
      </c>
    </row>
    <row r="399" customFormat="false" ht="15" hidden="false" customHeight="false" outlineLevel="0" collapsed="false">
      <c r="A399" s="4" t="n">
        <v>395</v>
      </c>
      <c r="B399" s="4" t="n">
        <v>272</v>
      </c>
      <c r="C399" s="5" t="s">
        <v>447</v>
      </c>
      <c r="D399" s="4" t="s">
        <v>279</v>
      </c>
      <c r="E399" s="4" t="s">
        <v>20</v>
      </c>
      <c r="F399" s="6" t="s">
        <v>31</v>
      </c>
      <c r="G399" s="7" t="n">
        <v>0</v>
      </c>
      <c r="H399" s="7" t="n">
        <v>0.34</v>
      </c>
      <c r="I399" s="7" t="n">
        <v>0.48</v>
      </c>
      <c r="J399" s="8" t="n">
        <f aca="false">IF(I399=0,0,(G399*H399)/I399)</f>
        <v>0</v>
      </c>
      <c r="K399" s="9" t="n">
        <f aca="false">IF(J399=0,0,(J399-MIN(J$5:J$654))/(MAX(J$5:J$654)-MIN(J$5:J$654)))</f>
        <v>0</v>
      </c>
      <c r="L399" s="10" t="str">
        <f aca="false">IF(K399=0,"Very Low",IF(K399&gt;=0.6,"Very High",IF(K399&gt;=0.4,"High",IF(K399&gt;=0.2,"Moderate",IF(K399&gt;=0.1,"Low","Very Low")))))</f>
        <v>Very Low</v>
      </c>
    </row>
    <row r="400" customFormat="false" ht="15" hidden="false" customHeight="false" outlineLevel="0" collapsed="false">
      <c r="A400" s="4" t="n">
        <v>396</v>
      </c>
      <c r="B400" s="4" t="n">
        <v>272</v>
      </c>
      <c r="C400" s="5" t="s">
        <v>448</v>
      </c>
      <c r="D400" s="4" t="s">
        <v>74</v>
      </c>
      <c r="E400" s="4" t="s">
        <v>60</v>
      </c>
      <c r="F400" s="6" t="s">
        <v>31</v>
      </c>
      <c r="G400" s="7" t="n">
        <v>0</v>
      </c>
      <c r="H400" s="7" t="n">
        <v>0.3</v>
      </c>
      <c r="I400" s="7" t="n">
        <v>0.52</v>
      </c>
      <c r="J400" s="8" t="n">
        <f aca="false">IF(I400=0,0,(G400*H400)/I400)</f>
        <v>0</v>
      </c>
      <c r="K400" s="9" t="n">
        <f aca="false">IF(J400=0,0,(J400-MIN(J$5:J$654))/(MAX(J$5:J$654)-MIN(J$5:J$654)))</f>
        <v>0</v>
      </c>
      <c r="L400" s="10" t="str">
        <f aca="false">IF(K400=0,"Very Low",IF(K400&gt;=0.6,"Very High",IF(K400&gt;=0.4,"High",IF(K400&gt;=0.2,"Moderate",IF(K400&gt;=0.1,"Low","Very Low")))))</f>
        <v>Very Low</v>
      </c>
    </row>
    <row r="401" customFormat="false" ht="15" hidden="false" customHeight="false" outlineLevel="0" collapsed="false">
      <c r="A401" s="4" t="n">
        <v>397</v>
      </c>
      <c r="B401" s="4" t="n">
        <v>272</v>
      </c>
      <c r="C401" s="5" t="s">
        <v>449</v>
      </c>
      <c r="D401" s="4" t="s">
        <v>106</v>
      </c>
      <c r="E401" s="4" t="s">
        <v>87</v>
      </c>
      <c r="F401" s="6" t="s">
        <v>31</v>
      </c>
      <c r="G401" s="7" t="n">
        <v>0</v>
      </c>
      <c r="H401" s="7" t="n">
        <v>0.52</v>
      </c>
      <c r="I401" s="7" t="n">
        <v>0.5</v>
      </c>
      <c r="J401" s="8" t="n">
        <f aca="false">IF(I401=0,0,(G401*H401)/I401)</f>
        <v>0</v>
      </c>
      <c r="K401" s="9" t="n">
        <f aca="false">IF(J401=0,0,(J401-MIN(J$5:J$654))/(MAX(J$5:J$654)-MIN(J$5:J$654)))</f>
        <v>0</v>
      </c>
      <c r="L401" s="10" t="str">
        <f aca="false">IF(K401=0,"Very Low",IF(K401&gt;=0.6,"Very High",IF(K401&gt;=0.4,"High",IF(K401&gt;=0.2,"Moderate",IF(K401&gt;=0.1,"Low","Very Low")))))</f>
        <v>Very Low</v>
      </c>
    </row>
    <row r="402" customFormat="false" ht="15" hidden="false" customHeight="false" outlineLevel="0" collapsed="false">
      <c r="A402" s="4" t="n">
        <v>398</v>
      </c>
      <c r="B402" s="4" t="n">
        <v>272</v>
      </c>
      <c r="C402" s="5" t="s">
        <v>450</v>
      </c>
      <c r="D402" s="4" t="s">
        <v>279</v>
      </c>
      <c r="E402" s="4" t="s">
        <v>20</v>
      </c>
      <c r="F402" s="6" t="s">
        <v>31</v>
      </c>
      <c r="G402" s="7" t="n">
        <v>0</v>
      </c>
      <c r="H402" s="7" t="n">
        <v>0.41</v>
      </c>
      <c r="I402" s="7" t="n">
        <v>0.32</v>
      </c>
      <c r="J402" s="8" t="n">
        <f aca="false">IF(I402=0,0,(G402*H402)/I402)</f>
        <v>0</v>
      </c>
      <c r="K402" s="9" t="n">
        <f aca="false">IF(J402=0,0,(J402-MIN(J$5:J$654))/(MAX(J$5:J$654)-MIN(J$5:J$654)))</f>
        <v>0</v>
      </c>
      <c r="L402" s="10" t="str">
        <f aca="false">IF(K402=0,"Very Low",IF(K402&gt;=0.6,"Very High",IF(K402&gt;=0.4,"High",IF(K402&gt;=0.2,"Moderate",IF(K402&gt;=0.1,"Low","Very Low")))))</f>
        <v>Very Low</v>
      </c>
    </row>
    <row r="403" customFormat="false" ht="15" hidden="false" customHeight="false" outlineLevel="0" collapsed="false">
      <c r="A403" s="4" t="n">
        <v>399</v>
      </c>
      <c r="B403" s="4" t="n">
        <v>272</v>
      </c>
      <c r="C403" s="5" t="s">
        <v>451</v>
      </c>
      <c r="D403" s="4" t="s">
        <v>40</v>
      </c>
      <c r="E403" s="4" t="s">
        <v>20</v>
      </c>
      <c r="F403" s="6" t="s">
        <v>31</v>
      </c>
      <c r="G403" s="7" t="n">
        <v>0</v>
      </c>
      <c r="H403" s="7" t="n">
        <v>0.27</v>
      </c>
      <c r="I403" s="7" t="n">
        <v>0.32</v>
      </c>
      <c r="J403" s="8" t="n">
        <f aca="false">IF(I403=0,0,(G403*H403)/I403)</f>
        <v>0</v>
      </c>
      <c r="K403" s="9" t="n">
        <f aca="false">IF(J403=0,0,(J403-MIN(J$5:J$654))/(MAX(J$5:J$654)-MIN(J$5:J$654)))</f>
        <v>0</v>
      </c>
      <c r="L403" s="10" t="str">
        <f aca="false">IF(K403=0,"Very Low",IF(K403&gt;=0.6,"Very High",IF(K403&gt;=0.4,"High",IF(K403&gt;=0.2,"Moderate",IF(K403&gt;=0.1,"Low","Very Low")))))</f>
        <v>Very Low</v>
      </c>
    </row>
    <row r="404" customFormat="false" ht="15" hidden="false" customHeight="false" outlineLevel="0" collapsed="false">
      <c r="A404" s="4" t="n">
        <v>400</v>
      </c>
      <c r="B404" s="4" t="n">
        <v>272</v>
      </c>
      <c r="C404" s="5" t="s">
        <v>452</v>
      </c>
      <c r="D404" s="4" t="s">
        <v>86</v>
      </c>
      <c r="E404" s="4" t="s">
        <v>87</v>
      </c>
      <c r="F404" s="6" t="s">
        <v>31</v>
      </c>
      <c r="G404" s="7" t="n">
        <v>0</v>
      </c>
      <c r="H404" s="7" t="n">
        <v>0.33</v>
      </c>
      <c r="I404" s="7" t="n">
        <v>0.49</v>
      </c>
      <c r="J404" s="8" t="n">
        <f aca="false">IF(I404=0,0,(G404*H404)/I404)</f>
        <v>0</v>
      </c>
      <c r="K404" s="9" t="n">
        <f aca="false">IF(J404=0,0,(J404-MIN(J$5:J$654))/(MAX(J$5:J$654)-MIN(J$5:J$654)))</f>
        <v>0</v>
      </c>
      <c r="L404" s="10" t="str">
        <f aca="false">IF(K404=0,"Very Low",IF(K404&gt;=0.6,"Very High",IF(K404&gt;=0.4,"High",IF(K404&gt;=0.2,"Moderate",IF(K404&gt;=0.1,"Low","Very Low")))))</f>
        <v>Very Low</v>
      </c>
    </row>
    <row r="405" customFormat="false" ht="15" hidden="false" customHeight="false" outlineLevel="0" collapsed="false">
      <c r="A405" s="4" t="n">
        <v>401</v>
      </c>
      <c r="B405" s="4" t="n">
        <v>272</v>
      </c>
      <c r="C405" s="5" t="s">
        <v>453</v>
      </c>
      <c r="D405" s="4" t="s">
        <v>40</v>
      </c>
      <c r="E405" s="4" t="s">
        <v>20</v>
      </c>
      <c r="F405" s="6" t="s">
        <v>31</v>
      </c>
      <c r="G405" s="7" t="n">
        <v>0</v>
      </c>
      <c r="H405" s="7" t="n">
        <v>0.32</v>
      </c>
      <c r="I405" s="7" t="n">
        <v>0.33</v>
      </c>
      <c r="J405" s="8" t="n">
        <f aca="false">IF(I405=0,0,(G405*H405)/I405)</f>
        <v>0</v>
      </c>
      <c r="K405" s="9" t="n">
        <f aca="false">IF(J405=0,0,(J405-MIN(J$5:J$654))/(MAX(J$5:J$654)-MIN(J$5:J$654)))</f>
        <v>0</v>
      </c>
      <c r="L405" s="10" t="str">
        <f aca="false">IF(K405=0,"Very Low",IF(K405&gt;=0.6,"Very High",IF(K405&gt;=0.4,"High",IF(K405&gt;=0.2,"Moderate",IF(K405&gt;=0.1,"Low","Very Low")))))</f>
        <v>Very Low</v>
      </c>
    </row>
    <row r="406" customFormat="false" ht="15" hidden="false" customHeight="false" outlineLevel="0" collapsed="false">
      <c r="A406" s="4" t="n">
        <v>402</v>
      </c>
      <c r="B406" s="4" t="n">
        <v>272</v>
      </c>
      <c r="C406" s="5" t="s">
        <v>454</v>
      </c>
      <c r="D406" s="4" t="s">
        <v>106</v>
      </c>
      <c r="E406" s="4" t="s">
        <v>87</v>
      </c>
      <c r="F406" s="6" t="s">
        <v>31</v>
      </c>
      <c r="G406" s="7" t="n">
        <v>0</v>
      </c>
      <c r="H406" s="7" t="n">
        <v>0.61</v>
      </c>
      <c r="I406" s="7" t="n">
        <v>0.38</v>
      </c>
      <c r="J406" s="8" t="n">
        <f aca="false">IF(I406=0,0,(G406*H406)/I406)</f>
        <v>0</v>
      </c>
      <c r="K406" s="9" t="n">
        <f aca="false">IF(J406=0,0,(J406-MIN(J$5:J$654))/(MAX(J$5:J$654)-MIN(J$5:J$654)))</f>
        <v>0</v>
      </c>
      <c r="L406" s="10" t="str">
        <f aca="false">IF(K406=0,"Very Low",IF(K406&gt;=0.6,"Very High",IF(K406&gt;=0.4,"High",IF(K406&gt;=0.2,"Moderate",IF(K406&gt;=0.1,"Low","Very Low")))))</f>
        <v>Very Low</v>
      </c>
    </row>
    <row r="407" customFormat="false" ht="15" hidden="false" customHeight="false" outlineLevel="0" collapsed="false">
      <c r="A407" s="4" t="n">
        <v>403</v>
      </c>
      <c r="B407" s="4" t="n">
        <v>272</v>
      </c>
      <c r="C407" s="5" t="s">
        <v>455</v>
      </c>
      <c r="D407" s="4" t="s">
        <v>44</v>
      </c>
      <c r="E407" s="4" t="s">
        <v>30</v>
      </c>
      <c r="F407" s="6" t="s">
        <v>31</v>
      </c>
      <c r="G407" s="7" t="n">
        <v>0</v>
      </c>
      <c r="H407" s="7" t="n">
        <v>0.5</v>
      </c>
      <c r="I407" s="7" t="n">
        <v>0.45</v>
      </c>
      <c r="J407" s="8" t="n">
        <f aca="false">IF(I407=0,0,(G407*H407)/I407)</f>
        <v>0</v>
      </c>
      <c r="K407" s="9" t="n">
        <f aca="false">IF(J407=0,0,(J407-MIN(J$5:J$654))/(MAX(J$5:J$654)-MIN(J$5:J$654)))</f>
        <v>0</v>
      </c>
      <c r="L407" s="10" t="str">
        <f aca="false">IF(K407=0,"Very Low",IF(K407&gt;=0.6,"Very High",IF(K407&gt;=0.4,"High",IF(K407&gt;=0.2,"Moderate",IF(K407&gt;=0.1,"Low","Very Low")))))</f>
        <v>Very Low</v>
      </c>
    </row>
    <row r="408" customFormat="false" ht="15" hidden="false" customHeight="false" outlineLevel="0" collapsed="false">
      <c r="A408" s="4" t="n">
        <v>404</v>
      </c>
      <c r="B408" s="4" t="n">
        <v>272</v>
      </c>
      <c r="C408" s="5" t="s">
        <v>456</v>
      </c>
      <c r="D408" s="4" t="s">
        <v>59</v>
      </c>
      <c r="E408" s="4" t="s">
        <v>60</v>
      </c>
      <c r="F408" s="6" t="s">
        <v>31</v>
      </c>
      <c r="G408" s="7" t="n">
        <v>0</v>
      </c>
      <c r="H408" s="7" t="n">
        <v>0.52</v>
      </c>
      <c r="I408" s="7" t="n">
        <v>0.44</v>
      </c>
      <c r="J408" s="8" t="n">
        <f aca="false">IF(I408=0,0,(G408*H408)/I408)</f>
        <v>0</v>
      </c>
      <c r="K408" s="9" t="n">
        <f aca="false">IF(J408=0,0,(J408-MIN(J$5:J$654))/(MAX(J$5:J$654)-MIN(J$5:J$654)))</f>
        <v>0</v>
      </c>
      <c r="L408" s="10" t="str">
        <f aca="false">IF(K408=0,"Very Low",IF(K408&gt;=0.6,"Very High",IF(K408&gt;=0.4,"High",IF(K408&gt;=0.2,"Moderate",IF(K408&gt;=0.1,"Low","Very Low")))))</f>
        <v>Very Low</v>
      </c>
    </row>
    <row r="409" customFormat="false" ht="15" hidden="false" customHeight="false" outlineLevel="0" collapsed="false">
      <c r="A409" s="4" t="n">
        <v>405</v>
      </c>
      <c r="B409" s="4" t="n">
        <v>272</v>
      </c>
      <c r="C409" s="5" t="s">
        <v>457</v>
      </c>
      <c r="D409" s="4" t="s">
        <v>86</v>
      </c>
      <c r="E409" s="4" t="s">
        <v>87</v>
      </c>
      <c r="F409" s="6" t="s">
        <v>31</v>
      </c>
      <c r="G409" s="7" t="n">
        <v>0</v>
      </c>
      <c r="H409" s="7" t="n">
        <v>0.37</v>
      </c>
      <c r="I409" s="7" t="n">
        <v>0.3</v>
      </c>
      <c r="J409" s="8" t="n">
        <f aca="false">IF(I409=0,0,(G409*H409)/I409)</f>
        <v>0</v>
      </c>
      <c r="K409" s="9" t="n">
        <f aca="false">IF(J409=0,0,(J409-MIN(J$5:J$654))/(MAX(J$5:J$654)-MIN(J$5:J$654)))</f>
        <v>0</v>
      </c>
      <c r="L409" s="10" t="str">
        <f aca="false">IF(K409=0,"Very Low",IF(K409&gt;=0.6,"Very High",IF(K409&gt;=0.4,"High",IF(K409&gt;=0.2,"Moderate",IF(K409&gt;=0.1,"Low","Very Low")))))</f>
        <v>Very Low</v>
      </c>
    </row>
    <row r="410" customFormat="false" ht="15" hidden="false" customHeight="false" outlineLevel="0" collapsed="false">
      <c r="A410" s="4" t="n">
        <v>406</v>
      </c>
      <c r="B410" s="4" t="n">
        <v>272</v>
      </c>
      <c r="C410" s="5" t="s">
        <v>458</v>
      </c>
      <c r="D410" s="4" t="s">
        <v>36</v>
      </c>
      <c r="E410" s="4" t="s">
        <v>24</v>
      </c>
      <c r="F410" s="6" t="s">
        <v>17</v>
      </c>
      <c r="G410" s="7" t="n">
        <v>0</v>
      </c>
      <c r="H410" s="7" t="n">
        <v>0.72</v>
      </c>
      <c r="I410" s="7" t="n">
        <v>0.4</v>
      </c>
      <c r="J410" s="8" t="n">
        <f aca="false">IF(I410=0,0,(G410*H410)/I410)</f>
        <v>0</v>
      </c>
      <c r="K410" s="9" t="n">
        <f aca="false">IF(J410=0,0,(J410-MIN(J$5:J$654))/(MAX(J$5:J$654)-MIN(J$5:J$654)))</f>
        <v>0</v>
      </c>
      <c r="L410" s="10" t="str">
        <f aca="false">IF(K410=0,"Very Low",IF(K410&gt;=0.6,"Very High",IF(K410&gt;=0.4,"High",IF(K410&gt;=0.2,"Moderate",IF(K410&gt;=0.1,"Low","Very Low")))))</f>
        <v>Very Low</v>
      </c>
    </row>
    <row r="411" customFormat="false" ht="15" hidden="false" customHeight="false" outlineLevel="0" collapsed="false">
      <c r="A411" s="4" t="n">
        <v>407</v>
      </c>
      <c r="B411" s="4" t="n">
        <v>272</v>
      </c>
      <c r="C411" s="5" t="s">
        <v>459</v>
      </c>
      <c r="D411" s="4" t="s">
        <v>19</v>
      </c>
      <c r="E411" s="4" t="s">
        <v>20</v>
      </c>
      <c r="F411" s="6" t="s">
        <v>17</v>
      </c>
      <c r="G411" s="7" t="n">
        <v>0</v>
      </c>
      <c r="H411" s="7" t="n">
        <v>0.57</v>
      </c>
      <c r="I411" s="7" t="n">
        <v>0.31</v>
      </c>
      <c r="J411" s="8" t="n">
        <f aca="false">IF(I411=0,0,(G411*H411)/I411)</f>
        <v>0</v>
      </c>
      <c r="K411" s="9" t="n">
        <f aca="false">IF(J411=0,0,(J411-MIN(J$5:J$654))/(MAX(J$5:J$654)-MIN(J$5:J$654)))</f>
        <v>0</v>
      </c>
      <c r="L411" s="10" t="str">
        <f aca="false">IF(K411=0,"Very Low",IF(K411&gt;=0.6,"Very High",IF(K411&gt;=0.4,"High",IF(K411&gt;=0.2,"Moderate",IF(K411&gt;=0.1,"Low","Very Low")))))</f>
        <v>Very Low</v>
      </c>
    </row>
    <row r="412" customFormat="false" ht="15" hidden="false" customHeight="false" outlineLevel="0" collapsed="false">
      <c r="A412" s="4" t="n">
        <v>408</v>
      </c>
      <c r="B412" s="4" t="n">
        <v>272</v>
      </c>
      <c r="C412" s="5" t="s">
        <v>460</v>
      </c>
      <c r="D412" s="4" t="s">
        <v>59</v>
      </c>
      <c r="E412" s="4" t="s">
        <v>60</v>
      </c>
      <c r="F412" s="6" t="s">
        <v>31</v>
      </c>
      <c r="G412" s="7" t="n">
        <v>0</v>
      </c>
      <c r="H412" s="7" t="n">
        <v>0.35</v>
      </c>
      <c r="I412" s="7" t="n">
        <v>0.36</v>
      </c>
      <c r="J412" s="8" t="n">
        <f aca="false">IF(I412=0,0,(G412*H412)/I412)</f>
        <v>0</v>
      </c>
      <c r="K412" s="9" t="n">
        <f aca="false">IF(J412=0,0,(J412-MIN(J$5:J$654))/(MAX(J$5:J$654)-MIN(J$5:J$654)))</f>
        <v>0</v>
      </c>
      <c r="L412" s="10" t="str">
        <f aca="false">IF(K412=0,"Very Low",IF(K412&gt;=0.6,"Very High",IF(K412&gt;=0.4,"High",IF(K412&gt;=0.2,"Moderate",IF(K412&gt;=0.1,"Low","Very Low")))))</f>
        <v>Very Low</v>
      </c>
    </row>
    <row r="413" customFormat="false" ht="15" hidden="false" customHeight="false" outlineLevel="0" collapsed="false">
      <c r="A413" s="4" t="n">
        <v>409</v>
      </c>
      <c r="B413" s="4" t="n">
        <v>272</v>
      </c>
      <c r="C413" s="5" t="s">
        <v>461</v>
      </c>
      <c r="D413" s="4" t="s">
        <v>23</v>
      </c>
      <c r="E413" s="4" t="s">
        <v>24</v>
      </c>
      <c r="F413" s="6" t="s">
        <v>25</v>
      </c>
      <c r="G413" s="7" t="n">
        <v>0.74</v>
      </c>
      <c r="H413" s="7" t="n">
        <v>0</v>
      </c>
      <c r="I413" s="7" t="n">
        <v>0.33</v>
      </c>
      <c r="J413" s="8" t="n">
        <f aca="false">IF(I413=0,0,(G413*H413)/I413)</f>
        <v>0</v>
      </c>
      <c r="K413" s="9" t="n">
        <f aca="false">IF(J413=0,0,(J413-MIN(J$5:J$654))/(MAX(J$5:J$654)-MIN(J$5:J$654)))</f>
        <v>0</v>
      </c>
      <c r="L413" s="10" t="str">
        <f aca="false">IF(K413=0,"Very Low",IF(K413&gt;=0.6,"Very High",IF(K413&gt;=0.4,"High",IF(K413&gt;=0.2,"Moderate",IF(K413&gt;=0.1,"Low","Very Low")))))</f>
        <v>Very Low</v>
      </c>
    </row>
    <row r="414" customFormat="false" ht="15" hidden="false" customHeight="false" outlineLevel="0" collapsed="false">
      <c r="A414" s="4" t="n">
        <v>410</v>
      </c>
      <c r="B414" s="4" t="n">
        <v>272</v>
      </c>
      <c r="C414" s="5" t="s">
        <v>462</v>
      </c>
      <c r="D414" s="4" t="s">
        <v>106</v>
      </c>
      <c r="E414" s="4" t="s">
        <v>87</v>
      </c>
      <c r="F414" s="6" t="s">
        <v>17</v>
      </c>
      <c r="G414" s="7" t="n">
        <v>0</v>
      </c>
      <c r="H414" s="7" t="n">
        <v>0</v>
      </c>
      <c r="I414" s="7" t="n">
        <v>0.48</v>
      </c>
      <c r="J414" s="8" t="n">
        <f aca="false">IF(I414=0,0,(G414*H414)/I414)</f>
        <v>0</v>
      </c>
      <c r="K414" s="9" t="n">
        <f aca="false">IF(J414=0,0,(J414-MIN(J$5:J$654))/(MAX(J$5:J$654)-MIN(J$5:J$654)))</f>
        <v>0</v>
      </c>
      <c r="L414" s="10" t="str">
        <f aca="false">IF(K414=0,"Very Low",IF(K414&gt;=0.6,"Very High",IF(K414&gt;=0.4,"High",IF(K414&gt;=0.2,"Moderate",IF(K414&gt;=0.1,"Low","Very Low")))))</f>
        <v>Very Low</v>
      </c>
    </row>
    <row r="415" customFormat="false" ht="15" hidden="false" customHeight="false" outlineLevel="0" collapsed="false">
      <c r="A415" s="4" t="n">
        <v>411</v>
      </c>
      <c r="B415" s="4" t="n">
        <v>272</v>
      </c>
      <c r="C415" s="5" t="s">
        <v>463</v>
      </c>
      <c r="D415" s="4" t="s">
        <v>83</v>
      </c>
      <c r="E415" s="4" t="s">
        <v>24</v>
      </c>
      <c r="F415" s="6" t="s">
        <v>25</v>
      </c>
      <c r="G415" s="7" t="n">
        <v>0.04</v>
      </c>
      <c r="H415" s="7" t="n">
        <v>0.01</v>
      </c>
      <c r="I415" s="7" t="n">
        <v>0.49</v>
      </c>
      <c r="J415" s="8" t="n">
        <f aca="false">IF(I415=0,0,(G415*H415)/I415)</f>
        <v>0.000816326530612245</v>
      </c>
      <c r="K415" s="9" t="n">
        <f aca="false">IF(J415=0,0,(J415-MIN(J$5:J$654))/(MAX(J$5:J$654)-MIN(J$5:J$654)))</f>
        <v>0.000323939099449304</v>
      </c>
      <c r="L415" s="10" t="str">
        <f aca="false">IF(K415=0,"Very Low",IF(K415&gt;=0.6,"Very High",IF(K415&gt;=0.4,"High",IF(K415&gt;=0.2,"Moderate",IF(K415&gt;=0.1,"Low","Very Low")))))</f>
        <v>Very Low</v>
      </c>
    </row>
    <row r="416" customFormat="false" ht="15" hidden="false" customHeight="false" outlineLevel="0" collapsed="false">
      <c r="A416" s="4" t="n">
        <v>412</v>
      </c>
      <c r="B416" s="4" t="n">
        <v>272</v>
      </c>
      <c r="C416" s="5" t="s">
        <v>464</v>
      </c>
      <c r="D416" s="4" t="s">
        <v>15</v>
      </c>
      <c r="E416" s="4" t="s">
        <v>16</v>
      </c>
      <c r="F416" s="6" t="s">
        <v>17</v>
      </c>
      <c r="G416" s="7" t="n">
        <v>0</v>
      </c>
      <c r="H416" s="7" t="n">
        <v>0.86</v>
      </c>
      <c r="I416" s="7" t="n">
        <v>0.39</v>
      </c>
      <c r="J416" s="8" t="n">
        <f aca="false">IF(I416=0,0,(G416*H416)/I416)</f>
        <v>0</v>
      </c>
      <c r="K416" s="9" t="n">
        <f aca="false">IF(J416=0,0,(J416-MIN(J$5:J$654))/(MAX(J$5:J$654)-MIN(J$5:J$654)))</f>
        <v>0</v>
      </c>
      <c r="L416" s="10" t="str">
        <f aca="false">IF(K416=0,"Very Low",IF(K416&gt;=0.6,"Very High",IF(K416&gt;=0.4,"High",IF(K416&gt;=0.2,"Moderate",IF(K416&gt;=0.1,"Low","Very Low")))))</f>
        <v>Very Low</v>
      </c>
    </row>
    <row r="417" customFormat="false" ht="15" hidden="false" customHeight="false" outlineLevel="0" collapsed="false">
      <c r="A417" s="4" t="n">
        <v>413</v>
      </c>
      <c r="B417" s="4" t="n">
        <v>272</v>
      </c>
      <c r="C417" s="5" t="s">
        <v>465</v>
      </c>
      <c r="D417" s="4" t="s">
        <v>29</v>
      </c>
      <c r="E417" s="4" t="s">
        <v>30</v>
      </c>
      <c r="F417" s="6" t="s">
        <v>31</v>
      </c>
      <c r="G417" s="7" t="n">
        <v>0</v>
      </c>
      <c r="H417" s="7" t="n">
        <v>0.51</v>
      </c>
      <c r="I417" s="7" t="n">
        <v>0.51</v>
      </c>
      <c r="J417" s="8" t="n">
        <f aca="false">IF(I417=0,0,(G417*H417)/I417)</f>
        <v>0</v>
      </c>
      <c r="K417" s="9" t="n">
        <f aca="false">IF(J417=0,0,(J417-MIN(J$5:J$654))/(MAX(J$5:J$654)-MIN(J$5:J$654)))</f>
        <v>0</v>
      </c>
      <c r="L417" s="10" t="str">
        <f aca="false">IF(K417=0,"Very Low",IF(K417&gt;=0.6,"Very High",IF(K417&gt;=0.4,"High",IF(K417&gt;=0.2,"Moderate",IF(K417&gt;=0.1,"Low","Very Low")))))</f>
        <v>Very Low</v>
      </c>
    </row>
    <row r="418" customFormat="false" ht="15" hidden="false" customHeight="false" outlineLevel="0" collapsed="false">
      <c r="A418" s="4" t="n">
        <v>414</v>
      </c>
      <c r="B418" s="4" t="n">
        <v>272</v>
      </c>
      <c r="C418" s="5" t="s">
        <v>466</v>
      </c>
      <c r="D418" s="4" t="s">
        <v>86</v>
      </c>
      <c r="E418" s="4" t="s">
        <v>87</v>
      </c>
      <c r="F418" s="6" t="s">
        <v>31</v>
      </c>
      <c r="G418" s="7" t="n">
        <v>0</v>
      </c>
      <c r="H418" s="7" t="n">
        <v>0.1</v>
      </c>
      <c r="I418" s="7" t="n">
        <v>0.46</v>
      </c>
      <c r="J418" s="8" t="n">
        <f aca="false">IF(I418=0,0,(G418*H418)/I418)</f>
        <v>0</v>
      </c>
      <c r="K418" s="9" t="n">
        <f aca="false">IF(J418=0,0,(J418-MIN(J$5:J$654))/(MAX(J$5:J$654)-MIN(J$5:J$654)))</f>
        <v>0</v>
      </c>
      <c r="L418" s="10" t="str">
        <f aca="false">IF(K418=0,"Very Low",IF(K418&gt;=0.6,"Very High",IF(K418&gt;=0.4,"High",IF(K418&gt;=0.2,"Moderate",IF(K418&gt;=0.1,"Low","Very Low")))))</f>
        <v>Very Low</v>
      </c>
    </row>
    <row r="419" customFormat="false" ht="15" hidden="false" customHeight="false" outlineLevel="0" collapsed="false">
      <c r="A419" s="4" t="n">
        <v>415</v>
      </c>
      <c r="B419" s="4" t="n">
        <v>272</v>
      </c>
      <c r="C419" s="5" t="s">
        <v>467</v>
      </c>
      <c r="D419" s="4" t="s">
        <v>86</v>
      </c>
      <c r="E419" s="4" t="s">
        <v>87</v>
      </c>
      <c r="F419" s="6" t="s">
        <v>31</v>
      </c>
      <c r="G419" s="7" t="n">
        <v>0</v>
      </c>
      <c r="H419" s="7" t="n">
        <v>0.15</v>
      </c>
      <c r="I419" s="7" t="n">
        <v>0.47</v>
      </c>
      <c r="J419" s="8" t="n">
        <f aca="false">IF(I419=0,0,(G419*H419)/I419)</f>
        <v>0</v>
      </c>
      <c r="K419" s="9" t="n">
        <f aca="false">IF(J419=0,0,(J419-MIN(J$5:J$654))/(MAX(J$5:J$654)-MIN(J$5:J$654)))</f>
        <v>0</v>
      </c>
      <c r="L419" s="10" t="str">
        <f aca="false">IF(K419=0,"Very Low",IF(K419&gt;=0.6,"Very High",IF(K419&gt;=0.4,"High",IF(K419&gt;=0.2,"Moderate",IF(K419&gt;=0.1,"Low","Very Low")))))</f>
        <v>Very Low</v>
      </c>
    </row>
    <row r="420" customFormat="false" ht="15" hidden="false" customHeight="false" outlineLevel="0" collapsed="false">
      <c r="A420" s="4" t="n">
        <v>416</v>
      </c>
      <c r="B420" s="4" t="n">
        <v>272</v>
      </c>
      <c r="C420" s="5" t="s">
        <v>468</v>
      </c>
      <c r="D420" s="4" t="s">
        <v>44</v>
      </c>
      <c r="E420" s="4" t="s">
        <v>30</v>
      </c>
      <c r="F420" s="6" t="s">
        <v>31</v>
      </c>
      <c r="G420" s="7" t="n">
        <v>0</v>
      </c>
      <c r="H420" s="7" t="n">
        <v>0.5</v>
      </c>
      <c r="I420" s="7" t="n">
        <v>0.46</v>
      </c>
      <c r="J420" s="8" t="n">
        <f aca="false">IF(I420=0,0,(G420*H420)/I420)</f>
        <v>0</v>
      </c>
      <c r="K420" s="9" t="n">
        <f aca="false">IF(J420=0,0,(J420-MIN(J$5:J$654))/(MAX(J$5:J$654)-MIN(J$5:J$654)))</f>
        <v>0</v>
      </c>
      <c r="L420" s="10" t="str">
        <f aca="false">IF(K420=0,"Very Low",IF(K420&gt;=0.6,"Very High",IF(K420&gt;=0.4,"High",IF(K420&gt;=0.2,"Moderate",IF(K420&gt;=0.1,"Low","Very Low")))))</f>
        <v>Very Low</v>
      </c>
    </row>
    <row r="421" customFormat="false" ht="15" hidden="false" customHeight="false" outlineLevel="0" collapsed="false">
      <c r="A421" s="4" t="n">
        <v>417</v>
      </c>
      <c r="B421" s="4" t="n">
        <v>272</v>
      </c>
      <c r="C421" s="5" t="s">
        <v>469</v>
      </c>
      <c r="D421" s="4" t="s">
        <v>59</v>
      </c>
      <c r="E421" s="4" t="s">
        <v>60</v>
      </c>
      <c r="F421" s="6" t="s">
        <v>31</v>
      </c>
      <c r="G421" s="7" t="n">
        <v>0</v>
      </c>
      <c r="H421" s="7" t="n">
        <v>0.2</v>
      </c>
      <c r="I421" s="7" t="n">
        <v>0.32</v>
      </c>
      <c r="J421" s="8" t="n">
        <f aca="false">IF(I421=0,0,(G421*H421)/I421)</f>
        <v>0</v>
      </c>
      <c r="K421" s="9" t="n">
        <f aca="false">IF(J421=0,0,(J421-MIN(J$5:J$654))/(MAX(J$5:J$654)-MIN(J$5:J$654)))</f>
        <v>0</v>
      </c>
      <c r="L421" s="10" t="str">
        <f aca="false">IF(K421=0,"Very Low",IF(K421&gt;=0.6,"Very High",IF(K421&gt;=0.4,"High",IF(K421&gt;=0.2,"Moderate",IF(K421&gt;=0.1,"Low","Very Low")))))</f>
        <v>Very Low</v>
      </c>
    </row>
    <row r="422" customFormat="false" ht="15" hidden="false" customHeight="false" outlineLevel="0" collapsed="false">
      <c r="A422" s="4" t="n">
        <v>418</v>
      </c>
      <c r="B422" s="4" t="n">
        <v>272</v>
      </c>
      <c r="C422" s="5" t="s">
        <v>470</v>
      </c>
      <c r="D422" s="4" t="s">
        <v>279</v>
      </c>
      <c r="E422" s="4" t="s">
        <v>20</v>
      </c>
      <c r="F422" s="6" t="s">
        <v>31</v>
      </c>
      <c r="G422" s="7" t="n">
        <v>0</v>
      </c>
      <c r="H422" s="7" t="n">
        <v>0.34</v>
      </c>
      <c r="I422" s="7" t="n">
        <v>0.3</v>
      </c>
      <c r="J422" s="8" t="n">
        <f aca="false">IF(I422=0,0,(G422*H422)/I422)</f>
        <v>0</v>
      </c>
      <c r="K422" s="9" t="n">
        <f aca="false">IF(J422=0,0,(J422-MIN(J$5:J$654))/(MAX(J$5:J$654)-MIN(J$5:J$654)))</f>
        <v>0</v>
      </c>
      <c r="L422" s="10" t="str">
        <f aca="false">IF(K422=0,"Very Low",IF(K422&gt;=0.6,"Very High",IF(K422&gt;=0.4,"High",IF(K422&gt;=0.2,"Moderate",IF(K422&gt;=0.1,"Low","Very Low")))))</f>
        <v>Very Low</v>
      </c>
    </row>
    <row r="423" customFormat="false" ht="15" hidden="false" customHeight="false" outlineLevel="0" collapsed="false">
      <c r="A423" s="4" t="n">
        <v>419</v>
      </c>
      <c r="B423" s="4" t="n">
        <v>272</v>
      </c>
      <c r="C423" s="5" t="s">
        <v>471</v>
      </c>
      <c r="D423" s="4" t="s">
        <v>79</v>
      </c>
      <c r="E423" s="4" t="s">
        <v>60</v>
      </c>
      <c r="F423" s="6" t="s">
        <v>17</v>
      </c>
      <c r="G423" s="7" t="n">
        <v>0</v>
      </c>
      <c r="H423" s="7" t="n">
        <v>0.94</v>
      </c>
      <c r="I423" s="7" t="n">
        <v>0.6</v>
      </c>
      <c r="J423" s="8" t="n">
        <f aca="false">IF(I423=0,0,(G423*H423)/I423)</f>
        <v>0</v>
      </c>
      <c r="K423" s="9" t="n">
        <f aca="false">IF(J423=0,0,(J423-MIN(J$5:J$654))/(MAX(J$5:J$654)-MIN(J$5:J$654)))</f>
        <v>0</v>
      </c>
      <c r="L423" s="10" t="str">
        <f aca="false">IF(K423=0,"Very Low",IF(K423&gt;=0.6,"Very High",IF(K423&gt;=0.4,"High",IF(K423&gt;=0.2,"Moderate",IF(K423&gt;=0.1,"Low","Very Low")))))</f>
        <v>Very Low</v>
      </c>
    </row>
    <row r="424" customFormat="false" ht="15" hidden="false" customHeight="false" outlineLevel="0" collapsed="false">
      <c r="A424" s="4" t="n">
        <v>420</v>
      </c>
      <c r="B424" s="4" t="n">
        <v>272</v>
      </c>
      <c r="C424" s="5" t="s">
        <v>472</v>
      </c>
      <c r="D424" s="4" t="s">
        <v>279</v>
      </c>
      <c r="E424" s="4" t="s">
        <v>20</v>
      </c>
      <c r="F424" s="6" t="s">
        <v>31</v>
      </c>
      <c r="G424" s="7" t="n">
        <v>0</v>
      </c>
      <c r="H424" s="7" t="n">
        <v>0.18</v>
      </c>
      <c r="I424" s="7" t="n">
        <v>0.31</v>
      </c>
      <c r="J424" s="8" t="n">
        <f aca="false">IF(I424=0,0,(G424*H424)/I424)</f>
        <v>0</v>
      </c>
      <c r="K424" s="9" t="n">
        <f aca="false">IF(J424=0,0,(J424-MIN(J$5:J$654))/(MAX(J$5:J$654)-MIN(J$5:J$654)))</f>
        <v>0</v>
      </c>
      <c r="L424" s="10" t="str">
        <f aca="false">IF(K424=0,"Very Low",IF(K424&gt;=0.6,"Very High",IF(K424&gt;=0.4,"High",IF(K424&gt;=0.2,"Moderate",IF(K424&gt;=0.1,"Low","Very Low")))))</f>
        <v>Very Low</v>
      </c>
    </row>
    <row r="425" customFormat="false" ht="15" hidden="false" customHeight="false" outlineLevel="0" collapsed="false">
      <c r="A425" s="4" t="n">
        <v>421</v>
      </c>
      <c r="B425" s="4" t="n">
        <v>272</v>
      </c>
      <c r="C425" s="5" t="s">
        <v>473</v>
      </c>
      <c r="D425" s="4" t="s">
        <v>98</v>
      </c>
      <c r="E425" s="4" t="s">
        <v>16</v>
      </c>
      <c r="F425" s="6" t="s">
        <v>17</v>
      </c>
      <c r="G425" s="7" t="n">
        <v>0</v>
      </c>
      <c r="H425" s="7" t="n">
        <v>0.08</v>
      </c>
      <c r="I425" s="7" t="n">
        <v>0.33</v>
      </c>
      <c r="J425" s="8" t="n">
        <f aca="false">IF(I425=0,0,(G425*H425)/I425)</f>
        <v>0</v>
      </c>
      <c r="K425" s="9" t="n">
        <f aca="false">IF(J425=0,0,(J425-MIN(J$5:J$654))/(MAX(J$5:J$654)-MIN(J$5:J$654)))</f>
        <v>0</v>
      </c>
      <c r="L425" s="10" t="str">
        <f aca="false">IF(K425=0,"Very Low",IF(K425&gt;=0.6,"Very High",IF(K425&gt;=0.4,"High",IF(K425&gt;=0.2,"Moderate",IF(K425&gt;=0.1,"Low","Very Low")))))</f>
        <v>Very Low</v>
      </c>
    </row>
    <row r="426" customFormat="false" ht="15" hidden="false" customHeight="false" outlineLevel="0" collapsed="false">
      <c r="A426" s="4" t="n">
        <v>422</v>
      </c>
      <c r="B426" s="4" t="n">
        <v>272</v>
      </c>
      <c r="C426" s="5" t="s">
        <v>474</v>
      </c>
      <c r="D426" s="4" t="s">
        <v>59</v>
      </c>
      <c r="E426" s="4" t="s">
        <v>60</v>
      </c>
      <c r="F426" s="6" t="s">
        <v>31</v>
      </c>
      <c r="G426" s="7" t="n">
        <v>0</v>
      </c>
      <c r="H426" s="7" t="n">
        <v>0.37</v>
      </c>
      <c r="I426" s="7" t="n">
        <v>0.37</v>
      </c>
      <c r="J426" s="8" t="n">
        <f aca="false">IF(I426=0,0,(G426*H426)/I426)</f>
        <v>0</v>
      </c>
      <c r="K426" s="9" t="n">
        <f aca="false">IF(J426=0,0,(J426-MIN(J$5:J$654))/(MAX(J$5:J$654)-MIN(J$5:J$654)))</f>
        <v>0</v>
      </c>
      <c r="L426" s="10" t="str">
        <f aca="false">IF(K426=0,"Very Low",IF(K426&gt;=0.6,"Very High",IF(K426&gt;=0.4,"High",IF(K426&gt;=0.2,"Moderate",IF(K426&gt;=0.1,"Low","Very Low")))))</f>
        <v>Very Low</v>
      </c>
    </row>
    <row r="427" customFormat="false" ht="15" hidden="false" customHeight="false" outlineLevel="0" collapsed="false">
      <c r="A427" s="4" t="n">
        <v>423</v>
      </c>
      <c r="B427" s="4" t="n">
        <v>272</v>
      </c>
      <c r="C427" s="5" t="s">
        <v>475</v>
      </c>
      <c r="D427" s="4" t="s">
        <v>59</v>
      </c>
      <c r="E427" s="4" t="s">
        <v>60</v>
      </c>
      <c r="F427" s="6" t="s">
        <v>31</v>
      </c>
      <c r="G427" s="7" t="n">
        <v>0</v>
      </c>
      <c r="H427" s="7" t="n">
        <v>0.37</v>
      </c>
      <c r="I427" s="7" t="n">
        <v>0.44</v>
      </c>
      <c r="J427" s="8" t="n">
        <f aca="false">IF(I427=0,0,(G427*H427)/I427)</f>
        <v>0</v>
      </c>
      <c r="K427" s="9" t="n">
        <f aca="false">IF(J427=0,0,(J427-MIN(J$5:J$654))/(MAX(J$5:J$654)-MIN(J$5:J$654)))</f>
        <v>0</v>
      </c>
      <c r="L427" s="10" t="str">
        <f aca="false">IF(K427=0,"Very Low",IF(K427&gt;=0.6,"Very High",IF(K427&gt;=0.4,"High",IF(K427&gt;=0.2,"Moderate",IF(K427&gt;=0.1,"Low","Very Low")))))</f>
        <v>Very Low</v>
      </c>
    </row>
    <row r="428" customFormat="false" ht="15" hidden="false" customHeight="false" outlineLevel="0" collapsed="false">
      <c r="A428" s="4" t="n">
        <v>424</v>
      </c>
      <c r="B428" s="4" t="n">
        <v>272</v>
      </c>
      <c r="C428" s="5" t="s">
        <v>476</v>
      </c>
      <c r="D428" s="4" t="s">
        <v>86</v>
      </c>
      <c r="E428" s="4" t="s">
        <v>87</v>
      </c>
      <c r="F428" s="6" t="s">
        <v>31</v>
      </c>
      <c r="G428" s="7" t="n">
        <v>0</v>
      </c>
      <c r="H428" s="7" t="n">
        <v>0.48</v>
      </c>
      <c r="I428" s="7" t="n">
        <v>0.47</v>
      </c>
      <c r="J428" s="8" t="n">
        <f aca="false">IF(I428=0,0,(G428*H428)/I428)</f>
        <v>0</v>
      </c>
      <c r="K428" s="9" t="n">
        <f aca="false">IF(J428=0,0,(J428-MIN(J$5:J$654))/(MAX(J$5:J$654)-MIN(J$5:J$654)))</f>
        <v>0</v>
      </c>
      <c r="L428" s="10" t="str">
        <f aca="false">IF(K428=0,"Very Low",IF(K428&gt;=0.6,"Very High",IF(K428&gt;=0.4,"High",IF(K428&gt;=0.2,"Moderate",IF(K428&gt;=0.1,"Low","Very Low")))))</f>
        <v>Very Low</v>
      </c>
    </row>
    <row r="429" customFormat="false" ht="15" hidden="false" customHeight="false" outlineLevel="0" collapsed="false">
      <c r="A429" s="4" t="n">
        <v>425</v>
      </c>
      <c r="B429" s="4" t="n">
        <v>272</v>
      </c>
      <c r="C429" s="5" t="s">
        <v>477</v>
      </c>
      <c r="D429" s="4" t="s">
        <v>74</v>
      </c>
      <c r="E429" s="4" t="s">
        <v>60</v>
      </c>
      <c r="F429" s="6" t="s">
        <v>31</v>
      </c>
      <c r="G429" s="7" t="n">
        <v>0</v>
      </c>
      <c r="H429" s="7" t="n">
        <v>0.46</v>
      </c>
      <c r="I429" s="7" t="n">
        <v>0.37</v>
      </c>
      <c r="J429" s="8" t="n">
        <f aca="false">IF(I429=0,0,(G429*H429)/I429)</f>
        <v>0</v>
      </c>
      <c r="K429" s="9" t="n">
        <f aca="false">IF(J429=0,0,(J429-MIN(J$5:J$654))/(MAX(J$5:J$654)-MIN(J$5:J$654)))</f>
        <v>0</v>
      </c>
      <c r="L429" s="10" t="str">
        <f aca="false">IF(K429=0,"Very Low",IF(K429&gt;=0.6,"Very High",IF(K429&gt;=0.4,"High",IF(K429&gt;=0.2,"Moderate",IF(K429&gt;=0.1,"Low","Very Low")))))</f>
        <v>Very Low</v>
      </c>
    </row>
    <row r="430" customFormat="false" ht="15" hidden="false" customHeight="false" outlineLevel="0" collapsed="false">
      <c r="A430" s="4" t="n">
        <v>426</v>
      </c>
      <c r="B430" s="4" t="n">
        <v>272</v>
      </c>
      <c r="C430" s="5" t="s">
        <v>478</v>
      </c>
      <c r="D430" s="4" t="s">
        <v>93</v>
      </c>
      <c r="E430" s="4" t="s">
        <v>24</v>
      </c>
      <c r="F430" s="6" t="s">
        <v>27</v>
      </c>
      <c r="G430" s="7" t="n">
        <v>0</v>
      </c>
      <c r="H430" s="7" t="n">
        <v>0.89</v>
      </c>
      <c r="I430" s="7" t="n">
        <v>0.44</v>
      </c>
      <c r="J430" s="8" t="n">
        <f aca="false">IF(I430=0,0,(G430*H430)/I430)</f>
        <v>0</v>
      </c>
      <c r="K430" s="9" t="n">
        <f aca="false">IF(J430=0,0,(J430-MIN(J$5:J$654))/(MAX(J$5:J$654)-MIN(J$5:J$654)))</f>
        <v>0</v>
      </c>
      <c r="L430" s="10" t="str">
        <f aca="false">IF(K430=0,"Very Low",IF(K430&gt;=0.6,"Very High",IF(K430&gt;=0.4,"High",IF(K430&gt;=0.2,"Moderate",IF(K430&gt;=0.1,"Low","Very Low")))))</f>
        <v>Very Low</v>
      </c>
    </row>
    <row r="431" customFormat="false" ht="15" hidden="false" customHeight="false" outlineLevel="0" collapsed="false">
      <c r="A431" s="4" t="n">
        <v>427</v>
      </c>
      <c r="B431" s="4" t="n">
        <v>272</v>
      </c>
      <c r="C431" s="5" t="s">
        <v>479</v>
      </c>
      <c r="D431" s="4" t="s">
        <v>19</v>
      </c>
      <c r="E431" s="4" t="s">
        <v>20</v>
      </c>
      <c r="F431" s="6" t="s">
        <v>17</v>
      </c>
      <c r="G431" s="7" t="n">
        <v>0</v>
      </c>
      <c r="H431" s="7" t="n">
        <v>0.68</v>
      </c>
      <c r="I431" s="7" t="n">
        <v>0.34</v>
      </c>
      <c r="J431" s="8" t="n">
        <f aca="false">IF(I431=0,0,(G431*H431)/I431)</f>
        <v>0</v>
      </c>
      <c r="K431" s="9" t="n">
        <f aca="false">IF(J431=0,0,(J431-MIN(J$5:J$654))/(MAX(J$5:J$654)-MIN(J$5:J$654)))</f>
        <v>0</v>
      </c>
      <c r="L431" s="10" t="str">
        <f aca="false">IF(K431=0,"Very Low",IF(K431&gt;=0.6,"Very High",IF(K431&gt;=0.4,"High",IF(K431&gt;=0.2,"Moderate",IF(K431&gt;=0.1,"Low","Very Low")))))</f>
        <v>Very Low</v>
      </c>
    </row>
    <row r="432" customFormat="false" ht="15" hidden="false" customHeight="false" outlineLevel="0" collapsed="false">
      <c r="A432" s="4" t="n">
        <v>428</v>
      </c>
      <c r="B432" s="4" t="n">
        <v>272</v>
      </c>
      <c r="C432" s="5" t="s">
        <v>480</v>
      </c>
      <c r="D432" s="4" t="s">
        <v>106</v>
      </c>
      <c r="E432" s="4" t="s">
        <v>87</v>
      </c>
      <c r="F432" s="6" t="s">
        <v>17</v>
      </c>
      <c r="G432" s="7" t="n">
        <v>0</v>
      </c>
      <c r="H432" s="7" t="n">
        <v>0.52</v>
      </c>
      <c r="I432" s="7" t="n">
        <v>0.46</v>
      </c>
      <c r="J432" s="8" t="n">
        <f aca="false">IF(I432=0,0,(G432*H432)/I432)</f>
        <v>0</v>
      </c>
      <c r="K432" s="9" t="n">
        <f aca="false">IF(J432=0,0,(J432-MIN(J$5:J$654))/(MAX(J$5:J$654)-MIN(J$5:J$654)))</f>
        <v>0</v>
      </c>
      <c r="L432" s="10" t="str">
        <f aca="false">IF(K432=0,"Very Low",IF(K432&gt;=0.6,"Very High",IF(K432&gt;=0.4,"High",IF(K432&gt;=0.2,"Moderate",IF(K432&gt;=0.1,"Low","Very Low")))))</f>
        <v>Very Low</v>
      </c>
    </row>
    <row r="433" customFormat="false" ht="15" hidden="false" customHeight="false" outlineLevel="0" collapsed="false">
      <c r="A433" s="4" t="n">
        <v>429</v>
      </c>
      <c r="B433" s="4" t="n">
        <v>272</v>
      </c>
      <c r="C433" s="5" t="s">
        <v>481</v>
      </c>
      <c r="D433" s="4" t="s">
        <v>59</v>
      </c>
      <c r="E433" s="4" t="s">
        <v>60</v>
      </c>
      <c r="F433" s="6" t="s">
        <v>31</v>
      </c>
      <c r="G433" s="7" t="n">
        <v>0</v>
      </c>
      <c r="H433" s="7" t="n">
        <v>0.38</v>
      </c>
      <c r="I433" s="7" t="n">
        <v>0.47</v>
      </c>
      <c r="J433" s="8" t="n">
        <f aca="false">IF(I433=0,0,(G433*H433)/I433)</f>
        <v>0</v>
      </c>
      <c r="K433" s="9" t="n">
        <f aca="false">IF(J433=0,0,(J433-MIN(J$5:J$654))/(MAX(J$5:J$654)-MIN(J$5:J$654)))</f>
        <v>0</v>
      </c>
      <c r="L433" s="10" t="str">
        <f aca="false">IF(K433=0,"Very Low",IF(K433&gt;=0.6,"Very High",IF(K433&gt;=0.4,"High",IF(K433&gt;=0.2,"Moderate",IF(K433&gt;=0.1,"Low","Very Low")))))</f>
        <v>Very Low</v>
      </c>
    </row>
    <row r="434" customFormat="false" ht="15" hidden="false" customHeight="false" outlineLevel="0" collapsed="false">
      <c r="A434" s="4" t="n">
        <v>430</v>
      </c>
      <c r="B434" s="4" t="n">
        <v>272</v>
      </c>
      <c r="C434" s="5" t="s">
        <v>482</v>
      </c>
      <c r="D434" s="4" t="s">
        <v>86</v>
      </c>
      <c r="E434" s="4" t="s">
        <v>87</v>
      </c>
      <c r="F434" s="6" t="s">
        <v>31</v>
      </c>
      <c r="G434" s="7" t="n">
        <v>0</v>
      </c>
      <c r="H434" s="7" t="n">
        <v>0.54</v>
      </c>
      <c r="I434" s="7" t="n">
        <v>0.4</v>
      </c>
      <c r="J434" s="8" t="n">
        <f aca="false">IF(I434=0,0,(G434*H434)/I434)</f>
        <v>0</v>
      </c>
      <c r="K434" s="9" t="n">
        <f aca="false">IF(J434=0,0,(J434-MIN(J$5:J$654))/(MAX(J$5:J$654)-MIN(J$5:J$654)))</f>
        <v>0</v>
      </c>
      <c r="L434" s="10" t="str">
        <f aca="false">IF(K434=0,"Very Low",IF(K434&gt;=0.6,"Very High",IF(K434&gt;=0.4,"High",IF(K434&gt;=0.2,"Moderate",IF(K434&gt;=0.1,"Low","Very Low")))))</f>
        <v>Very Low</v>
      </c>
    </row>
    <row r="435" customFormat="false" ht="15" hidden="false" customHeight="false" outlineLevel="0" collapsed="false">
      <c r="A435" s="4" t="n">
        <v>431</v>
      </c>
      <c r="B435" s="4" t="n">
        <v>272</v>
      </c>
      <c r="C435" s="5" t="s">
        <v>483</v>
      </c>
      <c r="D435" s="4" t="s">
        <v>108</v>
      </c>
      <c r="E435" s="4" t="s">
        <v>30</v>
      </c>
      <c r="F435" s="6" t="s">
        <v>21</v>
      </c>
      <c r="G435" s="7" t="n">
        <v>0</v>
      </c>
      <c r="H435" s="7" t="n">
        <v>0.64</v>
      </c>
      <c r="I435" s="7" t="n">
        <v>0.51</v>
      </c>
      <c r="J435" s="8" t="n">
        <f aca="false">IF(I435=0,0,(G435*H435)/I435)</f>
        <v>0</v>
      </c>
      <c r="K435" s="9" t="n">
        <f aca="false">IF(J435=0,0,(J435-MIN(J$5:J$654))/(MAX(J$5:J$654)-MIN(J$5:J$654)))</f>
        <v>0</v>
      </c>
      <c r="L435" s="10" t="str">
        <f aca="false">IF(K435=0,"Very Low",IF(K435&gt;=0.6,"Very High",IF(K435&gt;=0.4,"High",IF(K435&gt;=0.2,"Moderate",IF(K435&gt;=0.1,"Low","Very Low")))))</f>
        <v>Very Low</v>
      </c>
    </row>
    <row r="436" customFormat="false" ht="15" hidden="false" customHeight="false" outlineLevel="0" collapsed="false">
      <c r="A436" s="4" t="n">
        <v>432</v>
      </c>
      <c r="B436" s="4" t="n">
        <v>272</v>
      </c>
      <c r="C436" s="5" t="s">
        <v>484</v>
      </c>
      <c r="D436" s="4" t="s">
        <v>40</v>
      </c>
      <c r="E436" s="4" t="s">
        <v>20</v>
      </c>
      <c r="F436" s="6" t="s">
        <v>31</v>
      </c>
      <c r="G436" s="7" t="n">
        <v>0</v>
      </c>
      <c r="H436" s="7" t="n">
        <v>0.33</v>
      </c>
      <c r="I436" s="7" t="n">
        <v>0.32</v>
      </c>
      <c r="J436" s="8" t="n">
        <f aca="false">IF(I436=0,0,(G436*H436)/I436)</f>
        <v>0</v>
      </c>
      <c r="K436" s="9" t="n">
        <f aca="false">IF(J436=0,0,(J436-MIN(J$5:J$654))/(MAX(J$5:J$654)-MIN(J$5:J$654)))</f>
        <v>0</v>
      </c>
      <c r="L436" s="10" t="str">
        <f aca="false">IF(K436=0,"Very Low",IF(K436&gt;=0.6,"Very High",IF(K436&gt;=0.4,"High",IF(K436&gt;=0.2,"Moderate",IF(K436&gt;=0.1,"Low","Very Low")))))</f>
        <v>Very Low</v>
      </c>
    </row>
    <row r="437" customFormat="false" ht="15" hidden="false" customHeight="false" outlineLevel="0" collapsed="false">
      <c r="A437" s="4" t="n">
        <v>433</v>
      </c>
      <c r="B437" s="4" t="n">
        <v>272</v>
      </c>
      <c r="C437" s="5" t="s">
        <v>485</v>
      </c>
      <c r="D437" s="4" t="s">
        <v>486</v>
      </c>
      <c r="E437" s="4" t="s">
        <v>487</v>
      </c>
      <c r="F437" s="6" t="s">
        <v>488</v>
      </c>
      <c r="G437" s="7" t="n">
        <v>0</v>
      </c>
      <c r="H437" s="7" t="n">
        <v>1</v>
      </c>
      <c r="I437" s="7" t="n">
        <v>0.38</v>
      </c>
      <c r="J437" s="8" t="n">
        <f aca="false">IF(I437=0,0,(G437*H437)/I437)</f>
        <v>0</v>
      </c>
      <c r="K437" s="9" t="n">
        <f aca="false">IF(J437=0,0,(J437-MIN(J$5:J$654))/(MAX(J$5:J$654)-MIN(J$5:J$654)))</f>
        <v>0</v>
      </c>
      <c r="L437" s="10" t="str">
        <f aca="false">IF(K437=0,"Very Low",IF(K437&gt;=0.6,"Very High",IF(K437&gt;=0.4,"High",IF(K437&gt;=0.2,"Moderate",IF(K437&gt;=0.1,"Low","Very Low")))))</f>
        <v>Very Low</v>
      </c>
    </row>
    <row r="438" customFormat="false" ht="15" hidden="false" customHeight="false" outlineLevel="0" collapsed="false">
      <c r="A438" s="4" t="n">
        <v>434</v>
      </c>
      <c r="B438" s="4" t="n">
        <v>272</v>
      </c>
      <c r="C438" s="5" t="s">
        <v>489</v>
      </c>
      <c r="D438" s="4" t="s">
        <v>490</v>
      </c>
      <c r="E438" s="4" t="s">
        <v>30</v>
      </c>
      <c r="F438" s="6" t="s">
        <v>21</v>
      </c>
      <c r="G438" s="7" t="n">
        <v>0.39</v>
      </c>
      <c r="H438" s="7" t="n">
        <v>0</v>
      </c>
      <c r="I438" s="7" t="n">
        <v>0.48</v>
      </c>
      <c r="J438" s="8" t="n">
        <f aca="false">IF(I438=0,0,(G438*H438)/I438)</f>
        <v>0</v>
      </c>
      <c r="K438" s="9" t="n">
        <f aca="false">IF(J438=0,0,(J438-MIN(J$5:J$654))/(MAX(J$5:J$654)-MIN(J$5:J$654)))</f>
        <v>0</v>
      </c>
      <c r="L438" s="10" t="str">
        <f aca="false">IF(K438=0,"Very Low",IF(K438&gt;=0.6,"Very High",IF(K438&gt;=0.4,"High",IF(K438&gt;=0.2,"Moderate",IF(K438&gt;=0.1,"Low","Very Low")))))</f>
        <v>Very Low</v>
      </c>
    </row>
    <row r="439" customFormat="false" ht="15" hidden="false" customHeight="false" outlineLevel="0" collapsed="false">
      <c r="A439" s="4" t="n">
        <v>435</v>
      </c>
      <c r="B439" s="4" t="n">
        <v>272</v>
      </c>
      <c r="C439" s="5" t="s">
        <v>491</v>
      </c>
      <c r="D439" s="4" t="s">
        <v>19</v>
      </c>
      <c r="E439" s="4" t="s">
        <v>20</v>
      </c>
      <c r="F439" s="6" t="s">
        <v>31</v>
      </c>
      <c r="G439" s="7" t="n">
        <v>0</v>
      </c>
      <c r="H439" s="7" t="n">
        <v>0.4</v>
      </c>
      <c r="I439" s="7" t="n">
        <v>0.36</v>
      </c>
      <c r="J439" s="8" t="n">
        <f aca="false">IF(I439=0,0,(G439*H439)/I439)</f>
        <v>0</v>
      </c>
      <c r="K439" s="9" t="n">
        <f aca="false">IF(J439=0,0,(J439-MIN(J$5:J$654))/(MAX(J$5:J$654)-MIN(J$5:J$654)))</f>
        <v>0</v>
      </c>
      <c r="L439" s="10" t="str">
        <f aca="false">IF(K439=0,"Very Low",IF(K439&gt;=0.6,"Very High",IF(K439&gt;=0.4,"High",IF(K439&gt;=0.2,"Moderate",IF(K439&gt;=0.1,"Low","Very Low")))))</f>
        <v>Very Low</v>
      </c>
    </row>
    <row r="440" customFormat="false" ht="15" hidden="false" customHeight="false" outlineLevel="0" collapsed="false">
      <c r="A440" s="4" t="n">
        <v>436</v>
      </c>
      <c r="B440" s="4" t="n">
        <v>272</v>
      </c>
      <c r="C440" s="5" t="s">
        <v>492</v>
      </c>
      <c r="D440" s="4" t="s">
        <v>279</v>
      </c>
      <c r="E440" s="4" t="s">
        <v>20</v>
      </c>
      <c r="F440" s="6" t="s">
        <v>31</v>
      </c>
      <c r="G440" s="7" t="n">
        <v>0</v>
      </c>
      <c r="H440" s="7" t="n">
        <v>0.33</v>
      </c>
      <c r="I440" s="7" t="n">
        <v>0.48</v>
      </c>
      <c r="J440" s="8" t="n">
        <f aca="false">IF(I440=0,0,(G440*H440)/I440)</f>
        <v>0</v>
      </c>
      <c r="K440" s="9" t="n">
        <f aca="false">IF(J440=0,0,(J440-MIN(J$5:J$654))/(MAX(J$5:J$654)-MIN(J$5:J$654)))</f>
        <v>0</v>
      </c>
      <c r="L440" s="10" t="str">
        <f aca="false">IF(K440=0,"Very Low",IF(K440&gt;=0.6,"Very High",IF(K440&gt;=0.4,"High",IF(K440&gt;=0.2,"Moderate",IF(K440&gt;=0.1,"Low","Very Low")))))</f>
        <v>Very Low</v>
      </c>
    </row>
    <row r="441" customFormat="false" ht="15" hidden="false" customHeight="false" outlineLevel="0" collapsed="false">
      <c r="A441" s="4" t="n">
        <v>437</v>
      </c>
      <c r="B441" s="4" t="n">
        <v>272</v>
      </c>
      <c r="C441" s="5" t="s">
        <v>493</v>
      </c>
      <c r="D441" s="4" t="s">
        <v>279</v>
      </c>
      <c r="E441" s="4" t="s">
        <v>20</v>
      </c>
      <c r="F441" s="6" t="s">
        <v>31</v>
      </c>
      <c r="G441" s="7" t="n">
        <v>0</v>
      </c>
      <c r="H441" s="7" t="n">
        <v>0.55</v>
      </c>
      <c r="I441" s="7" t="n">
        <v>0.32</v>
      </c>
      <c r="J441" s="8" t="n">
        <f aca="false">IF(I441=0,0,(G441*H441)/I441)</f>
        <v>0</v>
      </c>
      <c r="K441" s="9" t="n">
        <f aca="false">IF(J441=0,0,(J441-MIN(J$5:J$654))/(MAX(J$5:J$654)-MIN(J$5:J$654)))</f>
        <v>0</v>
      </c>
      <c r="L441" s="10" t="str">
        <f aca="false">IF(K441=0,"Very Low",IF(K441&gt;=0.6,"Very High",IF(K441&gt;=0.4,"High",IF(K441&gt;=0.2,"Moderate",IF(K441&gt;=0.1,"Low","Very Low")))))</f>
        <v>Very Low</v>
      </c>
    </row>
    <row r="442" customFormat="false" ht="15" hidden="false" customHeight="false" outlineLevel="0" collapsed="false">
      <c r="A442" s="4" t="n">
        <v>438</v>
      </c>
      <c r="B442" s="4" t="n">
        <v>272</v>
      </c>
      <c r="C442" s="5" t="s">
        <v>494</v>
      </c>
      <c r="D442" s="4" t="s">
        <v>36</v>
      </c>
      <c r="E442" s="4" t="s">
        <v>24</v>
      </c>
      <c r="F442" s="6" t="s">
        <v>27</v>
      </c>
      <c r="G442" s="7" t="n">
        <v>0.025</v>
      </c>
      <c r="H442" s="7" t="n">
        <v>0</v>
      </c>
      <c r="I442" s="7" t="n">
        <v>0.42</v>
      </c>
      <c r="J442" s="8" t="n">
        <f aca="false">IF(I442=0,0,(G442*H442)/I442)</f>
        <v>0</v>
      </c>
      <c r="K442" s="9" t="n">
        <f aca="false">IF(J442=0,0,(J442-MIN(J$5:J$654))/(MAX(J$5:J$654)-MIN(J$5:J$654)))</f>
        <v>0</v>
      </c>
      <c r="L442" s="10" t="str">
        <f aca="false">IF(K442=0,"Very Low",IF(K442&gt;=0.6,"Very High",IF(K442&gt;=0.4,"High",IF(K442&gt;=0.2,"Moderate",IF(K442&gt;=0.1,"Low","Very Low")))))</f>
        <v>Very Low</v>
      </c>
    </row>
    <row r="443" customFormat="false" ht="15" hidden="false" customHeight="false" outlineLevel="0" collapsed="false">
      <c r="A443" s="4" t="n">
        <v>439</v>
      </c>
      <c r="B443" s="4" t="n">
        <v>272</v>
      </c>
      <c r="C443" s="5" t="s">
        <v>495</v>
      </c>
      <c r="D443" s="4" t="s">
        <v>95</v>
      </c>
      <c r="E443" s="4" t="s">
        <v>20</v>
      </c>
      <c r="F443" s="6" t="s">
        <v>17</v>
      </c>
      <c r="G443" s="7" t="n">
        <v>0</v>
      </c>
      <c r="H443" s="7" t="n">
        <v>0.91</v>
      </c>
      <c r="I443" s="7" t="n">
        <v>0.52</v>
      </c>
      <c r="J443" s="8" t="n">
        <f aca="false">IF(I443=0,0,(G443*H443)/I443)</f>
        <v>0</v>
      </c>
      <c r="K443" s="9" t="n">
        <f aca="false">IF(J443=0,0,(J443-MIN(J$5:J$654))/(MAX(J$5:J$654)-MIN(J$5:J$654)))</f>
        <v>0</v>
      </c>
      <c r="L443" s="10" t="str">
        <f aca="false">IF(K443=0,"Very Low",IF(K443&gt;=0.6,"Very High",IF(K443&gt;=0.4,"High",IF(K443&gt;=0.2,"Moderate",IF(K443&gt;=0.1,"Low","Very Low")))))</f>
        <v>Very Low</v>
      </c>
    </row>
    <row r="444" customFormat="false" ht="15" hidden="false" customHeight="false" outlineLevel="0" collapsed="false">
      <c r="A444" s="4" t="n">
        <v>440</v>
      </c>
      <c r="B444" s="4" t="n">
        <v>272</v>
      </c>
      <c r="C444" s="5" t="s">
        <v>496</v>
      </c>
      <c r="D444" s="4" t="s">
        <v>59</v>
      </c>
      <c r="E444" s="4" t="s">
        <v>60</v>
      </c>
      <c r="F444" s="6" t="s">
        <v>31</v>
      </c>
      <c r="G444" s="7" t="n">
        <v>0</v>
      </c>
      <c r="H444" s="7" t="n">
        <v>0.3</v>
      </c>
      <c r="I444" s="7" t="n">
        <v>0.35</v>
      </c>
      <c r="J444" s="8" t="n">
        <f aca="false">IF(I444=0,0,(G444*H444)/I444)</f>
        <v>0</v>
      </c>
      <c r="K444" s="9" t="n">
        <f aca="false">IF(J444=0,0,(J444-MIN(J$5:J$654))/(MAX(J$5:J$654)-MIN(J$5:J$654)))</f>
        <v>0</v>
      </c>
      <c r="L444" s="10" t="str">
        <f aca="false">IF(K444=0,"Very Low",IF(K444&gt;=0.6,"Very High",IF(K444&gt;=0.4,"High",IF(K444&gt;=0.2,"Moderate",IF(K444&gt;=0.1,"Low","Very Low")))))</f>
        <v>Very Low</v>
      </c>
    </row>
    <row r="445" customFormat="false" ht="15" hidden="false" customHeight="false" outlineLevel="0" collapsed="false">
      <c r="A445" s="4" t="n">
        <v>441</v>
      </c>
      <c r="B445" s="4" t="n">
        <v>272</v>
      </c>
      <c r="C445" s="5" t="s">
        <v>497</v>
      </c>
      <c r="D445" s="4" t="s">
        <v>86</v>
      </c>
      <c r="E445" s="4" t="s">
        <v>87</v>
      </c>
      <c r="F445" s="6" t="s">
        <v>31</v>
      </c>
      <c r="G445" s="7" t="n">
        <v>0</v>
      </c>
      <c r="H445" s="7" t="n">
        <v>0.32</v>
      </c>
      <c r="I445" s="7" t="n">
        <v>0.53</v>
      </c>
      <c r="J445" s="8" t="n">
        <f aca="false">IF(I445=0,0,(G445*H445)/I445)</f>
        <v>0</v>
      </c>
      <c r="K445" s="9" t="n">
        <f aca="false">IF(J445=0,0,(J445-MIN(J$5:J$654))/(MAX(J$5:J$654)-MIN(J$5:J$654)))</f>
        <v>0</v>
      </c>
      <c r="L445" s="10" t="str">
        <f aca="false">IF(K445=0,"Very Low",IF(K445&gt;=0.6,"Very High",IF(K445&gt;=0.4,"High",IF(K445&gt;=0.2,"Moderate",IF(K445&gt;=0.1,"Low","Very Low")))))</f>
        <v>Very Low</v>
      </c>
    </row>
    <row r="446" customFormat="false" ht="15" hidden="false" customHeight="false" outlineLevel="0" collapsed="false">
      <c r="A446" s="4" t="n">
        <v>442</v>
      </c>
      <c r="B446" s="4" t="n">
        <v>272</v>
      </c>
      <c r="C446" s="5" t="s">
        <v>498</v>
      </c>
      <c r="D446" s="4" t="s">
        <v>106</v>
      </c>
      <c r="E446" s="4" t="s">
        <v>87</v>
      </c>
      <c r="F446" s="6" t="s">
        <v>31</v>
      </c>
      <c r="G446" s="7" t="n">
        <v>0</v>
      </c>
      <c r="H446" s="7" t="n">
        <v>0.45</v>
      </c>
      <c r="I446" s="7" t="n">
        <v>0.5</v>
      </c>
      <c r="J446" s="8" t="n">
        <f aca="false">IF(I446=0,0,(G446*H446)/I446)</f>
        <v>0</v>
      </c>
      <c r="K446" s="9" t="n">
        <f aca="false">IF(J446=0,0,(J446-MIN(J$5:J$654))/(MAX(J$5:J$654)-MIN(J$5:J$654)))</f>
        <v>0</v>
      </c>
      <c r="L446" s="10" t="str">
        <f aca="false">IF(K446=0,"Very Low",IF(K446&gt;=0.6,"Very High",IF(K446&gt;=0.4,"High",IF(K446&gt;=0.2,"Moderate",IF(K446&gt;=0.1,"Low","Very Low")))))</f>
        <v>Very Low</v>
      </c>
    </row>
    <row r="447" customFormat="false" ht="15" hidden="false" customHeight="false" outlineLevel="0" collapsed="false">
      <c r="A447" s="4" t="n">
        <v>443</v>
      </c>
      <c r="B447" s="4" t="n">
        <v>272</v>
      </c>
      <c r="C447" s="5" t="s">
        <v>499</v>
      </c>
      <c r="D447" s="4" t="s">
        <v>86</v>
      </c>
      <c r="E447" s="4" t="s">
        <v>87</v>
      </c>
      <c r="F447" s="6" t="s">
        <v>31</v>
      </c>
      <c r="G447" s="7" t="n">
        <v>0</v>
      </c>
      <c r="H447" s="7" t="n">
        <v>0.46</v>
      </c>
      <c r="I447" s="7" t="n">
        <v>0.43</v>
      </c>
      <c r="J447" s="8" t="n">
        <f aca="false">IF(I447=0,0,(G447*H447)/I447)</f>
        <v>0</v>
      </c>
      <c r="K447" s="9" t="n">
        <f aca="false">IF(J447=0,0,(J447-MIN(J$5:J$654))/(MAX(J$5:J$654)-MIN(J$5:J$654)))</f>
        <v>0</v>
      </c>
      <c r="L447" s="10" t="str">
        <f aca="false">IF(K447=0,"Very Low",IF(K447&gt;=0.6,"Very High",IF(K447&gt;=0.4,"High",IF(K447&gt;=0.2,"Moderate",IF(K447&gt;=0.1,"Low","Very Low")))))</f>
        <v>Very Low</v>
      </c>
    </row>
    <row r="448" customFormat="false" ht="15" hidden="false" customHeight="false" outlineLevel="0" collapsed="false">
      <c r="A448" s="4" t="n">
        <v>444</v>
      </c>
      <c r="B448" s="4" t="n">
        <v>272</v>
      </c>
      <c r="C448" s="5" t="s">
        <v>500</v>
      </c>
      <c r="D448" s="4" t="s">
        <v>279</v>
      </c>
      <c r="E448" s="4" t="s">
        <v>20</v>
      </c>
      <c r="F448" s="6" t="s">
        <v>34</v>
      </c>
      <c r="G448" s="7" t="n">
        <v>0</v>
      </c>
      <c r="H448" s="7" t="n">
        <v>0.69</v>
      </c>
      <c r="I448" s="7" t="n">
        <v>0.34</v>
      </c>
      <c r="J448" s="8" t="n">
        <f aca="false">IF(I448=0,0,(G448*H448)/I448)</f>
        <v>0</v>
      </c>
      <c r="K448" s="9" t="n">
        <f aca="false">IF(J448=0,0,(J448-MIN(J$5:J$654))/(MAX(J$5:J$654)-MIN(J$5:J$654)))</f>
        <v>0</v>
      </c>
      <c r="L448" s="10" t="str">
        <f aca="false">IF(K448=0,"Very Low",IF(K448&gt;=0.6,"Very High",IF(K448&gt;=0.4,"High",IF(K448&gt;=0.2,"Moderate",IF(K448&gt;=0.1,"Low","Very Low")))))</f>
        <v>Very Low</v>
      </c>
    </row>
    <row r="449" customFormat="false" ht="15" hidden="false" customHeight="false" outlineLevel="0" collapsed="false">
      <c r="A449" s="4" t="n">
        <v>445</v>
      </c>
      <c r="B449" s="4" t="n">
        <v>272</v>
      </c>
      <c r="C449" s="5" t="s">
        <v>501</v>
      </c>
      <c r="D449" s="4" t="s">
        <v>279</v>
      </c>
      <c r="E449" s="4" t="s">
        <v>20</v>
      </c>
      <c r="F449" s="6" t="s">
        <v>31</v>
      </c>
      <c r="G449" s="7" t="n">
        <v>0</v>
      </c>
      <c r="H449" s="7" t="n">
        <v>0.46</v>
      </c>
      <c r="I449" s="7" t="n">
        <v>0.37</v>
      </c>
      <c r="J449" s="8" t="n">
        <f aca="false">IF(I449=0,0,(G449*H449)/I449)</f>
        <v>0</v>
      </c>
      <c r="K449" s="9" t="n">
        <f aca="false">IF(J449=0,0,(J449-MIN(J$5:J$654))/(MAX(J$5:J$654)-MIN(J$5:J$654)))</f>
        <v>0</v>
      </c>
      <c r="L449" s="10" t="str">
        <f aca="false">IF(K449=0,"Very Low",IF(K449&gt;=0.6,"Very High",IF(K449&gt;=0.4,"High",IF(K449&gt;=0.2,"Moderate",IF(K449&gt;=0.1,"Low","Very Low")))))</f>
        <v>Very Low</v>
      </c>
    </row>
    <row r="450" customFormat="false" ht="15" hidden="false" customHeight="false" outlineLevel="0" collapsed="false">
      <c r="A450" s="4" t="n">
        <v>446</v>
      </c>
      <c r="B450" s="4" t="n">
        <v>272</v>
      </c>
      <c r="C450" s="5" t="s">
        <v>502</v>
      </c>
      <c r="D450" s="4" t="s">
        <v>108</v>
      </c>
      <c r="E450" s="4" t="s">
        <v>30</v>
      </c>
      <c r="F450" s="6" t="s">
        <v>17</v>
      </c>
      <c r="G450" s="7" t="n">
        <v>0</v>
      </c>
      <c r="H450" s="7" t="n">
        <v>0.94</v>
      </c>
      <c r="I450" s="7" t="n">
        <v>0.54</v>
      </c>
      <c r="J450" s="8" t="n">
        <f aca="false">IF(I450=0,0,(G450*H450)/I450)</f>
        <v>0</v>
      </c>
      <c r="K450" s="9" t="n">
        <f aca="false">IF(J450=0,0,(J450-MIN(J$5:J$654))/(MAX(J$5:J$654)-MIN(J$5:J$654)))</f>
        <v>0</v>
      </c>
      <c r="L450" s="10" t="str">
        <f aca="false">IF(K450=0,"Very Low",IF(K450&gt;=0.6,"Very High",IF(K450&gt;=0.4,"High",IF(K450&gt;=0.2,"Moderate",IF(K450&gt;=0.1,"Low","Very Low")))))</f>
        <v>Very Low</v>
      </c>
    </row>
    <row r="451" customFormat="false" ht="15" hidden="false" customHeight="false" outlineLevel="0" collapsed="false">
      <c r="A451" s="4" t="n">
        <v>447</v>
      </c>
      <c r="B451" s="4" t="n">
        <v>272</v>
      </c>
      <c r="C451" s="5" t="s">
        <v>503</v>
      </c>
      <c r="D451" s="4" t="s">
        <v>36</v>
      </c>
      <c r="E451" s="4" t="s">
        <v>24</v>
      </c>
      <c r="F451" s="6" t="s">
        <v>31</v>
      </c>
      <c r="G451" s="7" t="n">
        <v>0</v>
      </c>
      <c r="H451" s="7" t="n">
        <v>0.48</v>
      </c>
      <c r="I451" s="7" t="n">
        <v>0.49</v>
      </c>
      <c r="J451" s="8" t="n">
        <f aca="false">IF(I451=0,0,(G451*H451)/I451)</f>
        <v>0</v>
      </c>
      <c r="K451" s="9" t="n">
        <f aca="false">IF(J451=0,0,(J451-MIN(J$5:J$654))/(MAX(J$5:J$654)-MIN(J$5:J$654)))</f>
        <v>0</v>
      </c>
      <c r="L451" s="10" t="str">
        <f aca="false">IF(K451=0,"Very Low",IF(K451&gt;=0.6,"Very High",IF(K451&gt;=0.4,"High",IF(K451&gt;=0.2,"Moderate",IF(K451&gt;=0.1,"Low","Very Low")))))</f>
        <v>Very Low</v>
      </c>
    </row>
    <row r="452" customFormat="false" ht="15" hidden="false" customHeight="false" outlineLevel="0" collapsed="false">
      <c r="A452" s="4" t="n">
        <v>448</v>
      </c>
      <c r="B452" s="4" t="n">
        <v>272</v>
      </c>
      <c r="C452" s="5" t="s">
        <v>504</v>
      </c>
      <c r="D452" s="4" t="s">
        <v>19</v>
      </c>
      <c r="E452" s="4" t="s">
        <v>20</v>
      </c>
      <c r="F452" s="6" t="s">
        <v>34</v>
      </c>
      <c r="G452" s="7" t="n">
        <v>0</v>
      </c>
      <c r="H452" s="7" t="n">
        <v>0</v>
      </c>
      <c r="I452" s="7" t="n">
        <v>0.44</v>
      </c>
      <c r="J452" s="8" t="n">
        <f aca="false">IF(I452=0,0,(G452*H452)/I452)</f>
        <v>0</v>
      </c>
      <c r="K452" s="9" t="n">
        <f aca="false">IF(J452=0,0,(J452-MIN(J$5:J$654))/(MAX(J$5:J$654)-MIN(J$5:J$654)))</f>
        <v>0</v>
      </c>
      <c r="L452" s="10" t="str">
        <f aca="false">IF(K452=0,"Very Low",IF(K452&gt;=0.6,"Very High",IF(K452&gt;=0.4,"High",IF(K452&gt;=0.2,"Moderate",IF(K452&gt;=0.1,"Low","Very Low")))))</f>
        <v>Very Low</v>
      </c>
    </row>
    <row r="453" customFormat="false" ht="15" hidden="false" customHeight="false" outlineLevel="0" collapsed="false">
      <c r="A453" s="4" t="n">
        <v>449</v>
      </c>
      <c r="B453" s="4" t="n">
        <v>272</v>
      </c>
      <c r="C453" s="5" t="s">
        <v>505</v>
      </c>
      <c r="D453" s="4" t="s">
        <v>59</v>
      </c>
      <c r="E453" s="4" t="s">
        <v>60</v>
      </c>
      <c r="F453" s="6" t="s">
        <v>31</v>
      </c>
      <c r="G453" s="7" t="n">
        <v>0</v>
      </c>
      <c r="H453" s="7" t="n">
        <v>0.35</v>
      </c>
      <c r="I453" s="7" t="n">
        <v>0.37</v>
      </c>
      <c r="J453" s="8" t="n">
        <f aca="false">IF(I453=0,0,(G453*H453)/I453)</f>
        <v>0</v>
      </c>
      <c r="K453" s="9" t="n">
        <f aca="false">IF(J453=0,0,(J453-MIN(J$5:J$654))/(MAX(J$5:J$654)-MIN(J$5:J$654)))</f>
        <v>0</v>
      </c>
      <c r="L453" s="10" t="str">
        <f aca="false">IF(K453=0,"Very Low",IF(K453&gt;=0.6,"Very High",IF(K453&gt;=0.4,"High",IF(K453&gt;=0.2,"Moderate",IF(K453&gt;=0.1,"Low","Very Low")))))</f>
        <v>Very Low</v>
      </c>
    </row>
    <row r="454" customFormat="false" ht="15" hidden="false" customHeight="false" outlineLevel="0" collapsed="false">
      <c r="A454" s="4" t="n">
        <v>450</v>
      </c>
      <c r="B454" s="4" t="n">
        <v>272</v>
      </c>
      <c r="C454" s="5" t="s">
        <v>506</v>
      </c>
      <c r="D454" s="4" t="s">
        <v>279</v>
      </c>
      <c r="E454" s="4" t="s">
        <v>20</v>
      </c>
      <c r="F454" s="6" t="s">
        <v>31</v>
      </c>
      <c r="G454" s="7" t="n">
        <v>0</v>
      </c>
      <c r="H454" s="7" t="n">
        <v>0.26</v>
      </c>
      <c r="I454" s="7" t="n">
        <v>0.34</v>
      </c>
      <c r="J454" s="8" t="n">
        <f aca="false">IF(I454=0,0,(G454*H454)/I454)</f>
        <v>0</v>
      </c>
      <c r="K454" s="9" t="n">
        <f aca="false">IF(J454=0,0,(J454-MIN(J$5:J$654))/(MAX(J$5:J$654)-MIN(J$5:J$654)))</f>
        <v>0</v>
      </c>
      <c r="L454" s="10" t="str">
        <f aca="false">IF(K454=0,"Very Low",IF(K454&gt;=0.6,"Very High",IF(K454&gt;=0.4,"High",IF(K454&gt;=0.2,"Moderate",IF(K454&gt;=0.1,"Low","Very Low")))))</f>
        <v>Very Low</v>
      </c>
    </row>
    <row r="455" customFormat="false" ht="15" hidden="false" customHeight="false" outlineLevel="0" collapsed="false">
      <c r="A455" s="4" t="n">
        <v>451</v>
      </c>
      <c r="B455" s="4" t="n">
        <v>272</v>
      </c>
      <c r="C455" s="5" t="s">
        <v>507</v>
      </c>
      <c r="D455" s="4" t="s">
        <v>40</v>
      </c>
      <c r="E455" s="4" t="s">
        <v>20</v>
      </c>
      <c r="F455" s="6" t="s">
        <v>27</v>
      </c>
      <c r="G455" s="7" t="n">
        <v>0</v>
      </c>
      <c r="H455" s="7" t="n">
        <v>0.7</v>
      </c>
      <c r="I455" s="7" t="n">
        <v>0.31</v>
      </c>
      <c r="J455" s="8" t="n">
        <f aca="false">IF(I455=0,0,(G455*H455)/I455)</f>
        <v>0</v>
      </c>
      <c r="K455" s="9" t="n">
        <f aca="false">IF(J455=0,0,(J455-MIN(J$5:J$654))/(MAX(J$5:J$654)-MIN(J$5:J$654)))</f>
        <v>0</v>
      </c>
      <c r="L455" s="10" t="str">
        <f aca="false">IF(K455=0,"Very Low",IF(K455&gt;=0.6,"Very High",IF(K455&gt;=0.4,"High",IF(K455&gt;=0.2,"Moderate",IF(K455&gt;=0.1,"Low","Very Low")))))</f>
        <v>Very Low</v>
      </c>
    </row>
    <row r="456" customFormat="false" ht="15" hidden="false" customHeight="false" outlineLevel="0" collapsed="false">
      <c r="A456" s="4" t="n">
        <v>452</v>
      </c>
      <c r="B456" s="4" t="n">
        <v>272</v>
      </c>
      <c r="C456" s="5" t="s">
        <v>508</v>
      </c>
      <c r="D456" s="4" t="s">
        <v>59</v>
      </c>
      <c r="E456" s="4" t="s">
        <v>60</v>
      </c>
      <c r="F456" s="6" t="s">
        <v>17</v>
      </c>
      <c r="G456" s="7" t="n">
        <v>0</v>
      </c>
      <c r="H456" s="7" t="n">
        <v>0.81</v>
      </c>
      <c r="I456" s="7" t="n">
        <v>0.29</v>
      </c>
      <c r="J456" s="8" t="n">
        <f aca="false">IF(I456=0,0,(G456*H456)/I456)</f>
        <v>0</v>
      </c>
      <c r="K456" s="9" t="n">
        <f aca="false">IF(J456=0,0,(J456-MIN(J$5:J$654))/(MAX(J$5:J$654)-MIN(J$5:J$654)))</f>
        <v>0</v>
      </c>
      <c r="L456" s="10" t="str">
        <f aca="false">IF(K456=0,"Very Low",IF(K456&gt;=0.6,"Very High",IF(K456&gt;=0.4,"High",IF(K456&gt;=0.2,"Moderate",IF(K456&gt;=0.1,"Low","Very Low")))))</f>
        <v>Very Low</v>
      </c>
    </row>
    <row r="457" customFormat="false" ht="15" hidden="false" customHeight="false" outlineLevel="0" collapsed="false">
      <c r="A457" s="4" t="n">
        <v>453</v>
      </c>
      <c r="B457" s="4" t="n">
        <v>272</v>
      </c>
      <c r="C457" s="5" t="s">
        <v>509</v>
      </c>
      <c r="D457" s="4" t="s">
        <v>59</v>
      </c>
      <c r="E457" s="4" t="s">
        <v>60</v>
      </c>
      <c r="F457" s="6" t="s">
        <v>31</v>
      </c>
      <c r="G457" s="7" t="n">
        <v>0</v>
      </c>
      <c r="H457" s="7" t="n">
        <v>0.29</v>
      </c>
      <c r="I457" s="7" t="n">
        <v>0.41</v>
      </c>
      <c r="J457" s="8" t="n">
        <f aca="false">IF(I457=0,0,(G457*H457)/I457)</f>
        <v>0</v>
      </c>
      <c r="K457" s="9" t="n">
        <f aca="false">IF(J457=0,0,(J457-MIN(J$5:J$654))/(MAX(J$5:J$654)-MIN(J$5:J$654)))</f>
        <v>0</v>
      </c>
      <c r="L457" s="10" t="str">
        <f aca="false">IF(K457=0,"Very Low",IF(K457&gt;=0.6,"Very High",IF(K457&gt;=0.4,"High",IF(K457&gt;=0.2,"Moderate",IF(K457&gt;=0.1,"Low","Very Low")))))</f>
        <v>Very Low</v>
      </c>
    </row>
    <row r="458" customFormat="false" ht="15" hidden="false" customHeight="false" outlineLevel="0" collapsed="false">
      <c r="A458" s="4" t="n">
        <v>454</v>
      </c>
      <c r="B458" s="4" t="n">
        <v>272</v>
      </c>
      <c r="C458" s="5" t="s">
        <v>510</v>
      </c>
      <c r="D458" s="4" t="s">
        <v>279</v>
      </c>
      <c r="E458" s="4" t="s">
        <v>20</v>
      </c>
      <c r="F458" s="6" t="s">
        <v>31</v>
      </c>
      <c r="G458" s="7" t="n">
        <v>0</v>
      </c>
      <c r="H458" s="7" t="n">
        <v>0.35</v>
      </c>
      <c r="I458" s="7" t="n">
        <v>0.32</v>
      </c>
      <c r="J458" s="8" t="n">
        <f aca="false">IF(I458=0,0,(G458*H458)/I458)</f>
        <v>0</v>
      </c>
      <c r="K458" s="9" t="n">
        <f aca="false">IF(J458=0,0,(J458-MIN(J$5:J$654))/(MAX(J$5:J$654)-MIN(J$5:J$654)))</f>
        <v>0</v>
      </c>
      <c r="L458" s="10" t="str">
        <f aca="false">IF(K458=0,"Very Low",IF(K458&gt;=0.6,"Very High",IF(K458&gt;=0.4,"High",IF(K458&gt;=0.2,"Moderate",IF(K458&gt;=0.1,"Low","Very Low")))))</f>
        <v>Very Low</v>
      </c>
    </row>
    <row r="459" customFormat="false" ht="15" hidden="false" customHeight="false" outlineLevel="0" collapsed="false">
      <c r="A459" s="4" t="n">
        <v>455</v>
      </c>
      <c r="B459" s="4" t="n">
        <v>272</v>
      </c>
      <c r="C459" s="5" t="s">
        <v>511</v>
      </c>
      <c r="D459" s="4" t="s">
        <v>44</v>
      </c>
      <c r="E459" s="4" t="s">
        <v>30</v>
      </c>
      <c r="F459" s="6" t="s">
        <v>31</v>
      </c>
      <c r="G459" s="7" t="n">
        <v>0</v>
      </c>
      <c r="H459" s="7" t="n">
        <v>0.43</v>
      </c>
      <c r="I459" s="7" t="n">
        <v>0.42</v>
      </c>
      <c r="J459" s="8" t="n">
        <f aca="false">IF(I459=0,0,(G459*H459)/I459)</f>
        <v>0</v>
      </c>
      <c r="K459" s="9" t="n">
        <f aca="false">IF(J459=0,0,(J459-MIN(J$5:J$654))/(MAX(J$5:J$654)-MIN(J$5:J$654)))</f>
        <v>0</v>
      </c>
      <c r="L459" s="10" t="str">
        <f aca="false">IF(K459=0,"Very Low",IF(K459&gt;=0.6,"Very High",IF(K459&gt;=0.4,"High",IF(K459&gt;=0.2,"Moderate",IF(K459&gt;=0.1,"Low","Very Low")))))</f>
        <v>Very Low</v>
      </c>
    </row>
    <row r="460" customFormat="false" ht="15" hidden="false" customHeight="false" outlineLevel="0" collapsed="false">
      <c r="A460" s="4" t="n">
        <v>456</v>
      </c>
      <c r="B460" s="4" t="n">
        <v>272</v>
      </c>
      <c r="C460" s="5" t="s">
        <v>512</v>
      </c>
      <c r="D460" s="4" t="s">
        <v>74</v>
      </c>
      <c r="E460" s="4" t="s">
        <v>60</v>
      </c>
      <c r="F460" s="6" t="s">
        <v>17</v>
      </c>
      <c r="G460" s="7" t="n">
        <v>0</v>
      </c>
      <c r="H460" s="7" t="n">
        <v>0.69</v>
      </c>
      <c r="I460" s="7" t="n">
        <v>0.48</v>
      </c>
      <c r="J460" s="8" t="n">
        <f aca="false">IF(I460=0,0,(G460*H460)/I460)</f>
        <v>0</v>
      </c>
      <c r="K460" s="9" t="n">
        <f aca="false">IF(J460=0,0,(J460-MIN(J$5:J$654))/(MAX(J$5:J$654)-MIN(J$5:J$654)))</f>
        <v>0</v>
      </c>
      <c r="L460" s="10" t="str">
        <f aca="false">IF(K460=0,"Very Low",IF(K460&gt;=0.6,"Very High",IF(K460&gt;=0.4,"High",IF(K460&gt;=0.2,"Moderate",IF(K460&gt;=0.1,"Low","Very Low")))))</f>
        <v>Very Low</v>
      </c>
    </row>
    <row r="461" customFormat="false" ht="15" hidden="false" customHeight="false" outlineLevel="0" collapsed="false">
      <c r="A461" s="4" t="n">
        <v>457</v>
      </c>
      <c r="B461" s="4" t="n">
        <v>272</v>
      </c>
      <c r="C461" s="5" t="s">
        <v>513</v>
      </c>
      <c r="D461" s="4" t="s">
        <v>59</v>
      </c>
      <c r="E461" s="4" t="s">
        <v>60</v>
      </c>
      <c r="F461" s="6" t="s">
        <v>31</v>
      </c>
      <c r="G461" s="7" t="n">
        <v>0</v>
      </c>
      <c r="H461" s="7" t="n">
        <v>0.44</v>
      </c>
      <c r="I461" s="7" t="n">
        <v>0.44</v>
      </c>
      <c r="J461" s="8" t="n">
        <f aca="false">IF(I461=0,0,(G461*H461)/I461)</f>
        <v>0</v>
      </c>
      <c r="K461" s="9" t="n">
        <f aca="false">IF(J461=0,0,(J461-MIN(J$5:J$654))/(MAX(J$5:J$654)-MIN(J$5:J$654)))</f>
        <v>0</v>
      </c>
      <c r="L461" s="10" t="str">
        <f aca="false">IF(K461=0,"Very Low",IF(K461&gt;=0.6,"Very High",IF(K461&gt;=0.4,"High",IF(K461&gt;=0.2,"Moderate",IF(K461&gt;=0.1,"Low","Very Low")))))</f>
        <v>Very Low</v>
      </c>
    </row>
    <row r="462" customFormat="false" ht="15" hidden="false" customHeight="false" outlineLevel="0" collapsed="false">
      <c r="A462" s="4" t="n">
        <v>458</v>
      </c>
      <c r="B462" s="4" t="n">
        <v>272</v>
      </c>
      <c r="C462" s="5" t="s">
        <v>514</v>
      </c>
      <c r="D462" s="4" t="s">
        <v>95</v>
      </c>
      <c r="E462" s="4" t="s">
        <v>20</v>
      </c>
      <c r="F462" s="6" t="s">
        <v>17</v>
      </c>
      <c r="G462" s="7" t="n">
        <v>0</v>
      </c>
      <c r="H462" s="7" t="n">
        <v>0.85</v>
      </c>
      <c r="I462" s="7" t="n">
        <v>0.55</v>
      </c>
      <c r="J462" s="8" t="n">
        <f aca="false">IF(I462=0,0,(G462*H462)/I462)</f>
        <v>0</v>
      </c>
      <c r="K462" s="9" t="n">
        <f aca="false">IF(J462=0,0,(J462-MIN(J$5:J$654))/(MAX(J$5:J$654)-MIN(J$5:J$654)))</f>
        <v>0</v>
      </c>
      <c r="L462" s="10" t="str">
        <f aca="false">IF(K462=0,"Very Low",IF(K462&gt;=0.6,"Very High",IF(K462&gt;=0.4,"High",IF(K462&gt;=0.2,"Moderate",IF(K462&gt;=0.1,"Low","Very Low")))))</f>
        <v>Very Low</v>
      </c>
    </row>
    <row r="463" customFormat="false" ht="15" hidden="false" customHeight="false" outlineLevel="0" collapsed="false">
      <c r="A463" s="4" t="n">
        <v>459</v>
      </c>
      <c r="B463" s="4" t="n">
        <v>272</v>
      </c>
      <c r="C463" s="5" t="s">
        <v>515</v>
      </c>
      <c r="D463" s="4" t="s">
        <v>486</v>
      </c>
      <c r="E463" s="4" t="s">
        <v>487</v>
      </c>
      <c r="F463" s="6" t="s">
        <v>488</v>
      </c>
      <c r="G463" s="7" t="n">
        <v>0</v>
      </c>
      <c r="H463" s="7" t="n">
        <v>0.6</v>
      </c>
      <c r="I463" s="7" t="n">
        <v>0.38</v>
      </c>
      <c r="J463" s="8" t="n">
        <f aca="false">IF(I463=0,0,(G463*H463)/I463)</f>
        <v>0</v>
      </c>
      <c r="K463" s="9" t="n">
        <f aca="false">IF(J463=0,0,(J463-MIN(J$5:J$654))/(MAX(J$5:J$654)-MIN(J$5:J$654)))</f>
        <v>0</v>
      </c>
      <c r="L463" s="10" t="str">
        <f aca="false">IF(K463=0,"Very Low",IF(K463&gt;=0.6,"Very High",IF(K463&gt;=0.4,"High",IF(K463&gt;=0.2,"Moderate",IF(K463&gt;=0.1,"Low","Very Low")))))</f>
        <v>Very Low</v>
      </c>
    </row>
    <row r="464" customFormat="false" ht="15" hidden="false" customHeight="false" outlineLevel="0" collapsed="false">
      <c r="A464" s="4" t="n">
        <v>460</v>
      </c>
      <c r="B464" s="4" t="n">
        <v>272</v>
      </c>
      <c r="C464" s="5" t="s">
        <v>516</v>
      </c>
      <c r="D464" s="4" t="s">
        <v>517</v>
      </c>
      <c r="E464" s="4" t="s">
        <v>16</v>
      </c>
      <c r="F464" s="6" t="s">
        <v>17</v>
      </c>
      <c r="G464" s="7" t="n">
        <v>0</v>
      </c>
      <c r="H464" s="7" t="n">
        <v>0.96</v>
      </c>
      <c r="I464" s="7" t="n">
        <v>0.46</v>
      </c>
      <c r="J464" s="8" t="n">
        <f aca="false">IF(I464=0,0,(G464*H464)/I464)</f>
        <v>0</v>
      </c>
      <c r="K464" s="9" t="n">
        <f aca="false">IF(J464=0,0,(J464-MIN(J$5:J$654))/(MAX(J$5:J$654)-MIN(J$5:J$654)))</f>
        <v>0</v>
      </c>
      <c r="L464" s="10" t="str">
        <f aca="false">IF(K464=0,"Very Low",IF(K464&gt;=0.6,"Very High",IF(K464&gt;=0.4,"High",IF(K464&gt;=0.2,"Moderate",IF(K464&gt;=0.1,"Low","Very Low")))))</f>
        <v>Very Low</v>
      </c>
    </row>
    <row r="465" customFormat="false" ht="15" hidden="false" customHeight="false" outlineLevel="0" collapsed="false">
      <c r="A465" s="4" t="n">
        <v>461</v>
      </c>
      <c r="B465" s="4" t="n">
        <v>272</v>
      </c>
      <c r="C465" s="5" t="s">
        <v>518</v>
      </c>
      <c r="D465" s="4" t="s">
        <v>490</v>
      </c>
      <c r="E465" s="4" t="s">
        <v>30</v>
      </c>
      <c r="F465" s="6" t="s">
        <v>17</v>
      </c>
      <c r="G465" s="7" t="n">
        <v>0</v>
      </c>
      <c r="H465" s="7" t="n">
        <v>0.85</v>
      </c>
      <c r="I465" s="7" t="n">
        <v>0.33</v>
      </c>
      <c r="J465" s="8" t="n">
        <f aca="false">IF(I465=0,0,(G465*H465)/I465)</f>
        <v>0</v>
      </c>
      <c r="K465" s="9" t="n">
        <f aca="false">IF(J465=0,0,(J465-MIN(J$5:J$654))/(MAX(J$5:J$654)-MIN(J$5:J$654)))</f>
        <v>0</v>
      </c>
      <c r="L465" s="10" t="str">
        <f aca="false">IF(K465=0,"Very Low",IF(K465&gt;=0.6,"Very High",IF(K465&gt;=0.4,"High",IF(K465&gt;=0.2,"Moderate",IF(K465&gt;=0.1,"Low","Very Low")))))</f>
        <v>Very Low</v>
      </c>
    </row>
    <row r="466" customFormat="false" ht="15" hidden="false" customHeight="false" outlineLevel="0" collapsed="false">
      <c r="A466" s="4" t="n">
        <v>462</v>
      </c>
      <c r="B466" s="4" t="n">
        <v>272</v>
      </c>
      <c r="C466" s="5" t="s">
        <v>519</v>
      </c>
      <c r="D466" s="4" t="s">
        <v>59</v>
      </c>
      <c r="E466" s="4" t="s">
        <v>60</v>
      </c>
      <c r="F466" s="6" t="s">
        <v>25</v>
      </c>
      <c r="G466" s="7" t="n">
        <v>0</v>
      </c>
      <c r="H466" s="7" t="n">
        <v>0.48</v>
      </c>
      <c r="I466" s="7" t="n">
        <v>0.46</v>
      </c>
      <c r="J466" s="8" t="n">
        <f aca="false">IF(I466=0,0,(G466*H466)/I466)</f>
        <v>0</v>
      </c>
      <c r="K466" s="9" t="n">
        <f aca="false">IF(J466=0,0,(J466-MIN(J$5:J$654))/(MAX(J$5:J$654)-MIN(J$5:J$654)))</f>
        <v>0</v>
      </c>
      <c r="L466" s="10" t="str">
        <f aca="false">IF(K466=0,"Very Low",IF(K466&gt;=0.6,"Very High",IF(K466&gt;=0.4,"High",IF(K466&gt;=0.2,"Moderate",IF(K466&gt;=0.1,"Low","Very Low")))))</f>
        <v>Very Low</v>
      </c>
    </row>
    <row r="467" customFormat="false" ht="15" hidden="false" customHeight="false" outlineLevel="0" collapsed="false">
      <c r="A467" s="4" t="n">
        <v>463</v>
      </c>
      <c r="B467" s="4" t="n">
        <v>272</v>
      </c>
      <c r="C467" s="5" t="s">
        <v>520</v>
      </c>
      <c r="D467" s="4" t="s">
        <v>40</v>
      </c>
      <c r="E467" s="4" t="s">
        <v>20</v>
      </c>
      <c r="F467" s="6" t="s">
        <v>17</v>
      </c>
      <c r="G467" s="7" t="n">
        <v>0</v>
      </c>
      <c r="H467" s="7" t="n">
        <v>0.83</v>
      </c>
      <c r="I467" s="7" t="n">
        <v>0.3</v>
      </c>
      <c r="J467" s="8" t="n">
        <f aca="false">IF(I467=0,0,(G467*H467)/I467)</f>
        <v>0</v>
      </c>
      <c r="K467" s="9" t="n">
        <f aca="false">IF(J467=0,0,(J467-MIN(J$5:J$654))/(MAX(J$5:J$654)-MIN(J$5:J$654)))</f>
        <v>0</v>
      </c>
      <c r="L467" s="10" t="str">
        <f aca="false">IF(K467=0,"Very Low",IF(K467&gt;=0.6,"Very High",IF(K467&gt;=0.4,"High",IF(K467&gt;=0.2,"Moderate",IF(K467&gt;=0.1,"Low","Very Low")))))</f>
        <v>Very Low</v>
      </c>
    </row>
    <row r="468" customFormat="false" ht="15" hidden="false" customHeight="false" outlineLevel="0" collapsed="false">
      <c r="A468" s="4" t="n">
        <v>464</v>
      </c>
      <c r="B468" s="4" t="n">
        <v>272</v>
      </c>
      <c r="C468" s="5" t="s">
        <v>521</v>
      </c>
      <c r="D468" s="4" t="s">
        <v>108</v>
      </c>
      <c r="E468" s="4" t="s">
        <v>30</v>
      </c>
      <c r="F468" s="6" t="s">
        <v>17</v>
      </c>
      <c r="G468" s="7" t="n">
        <v>0</v>
      </c>
      <c r="H468" s="7" t="n">
        <v>0.1</v>
      </c>
      <c r="I468" s="7" t="n">
        <v>0.47</v>
      </c>
      <c r="J468" s="8" t="n">
        <f aca="false">IF(I468=0,0,(G468*H468)/I468)</f>
        <v>0</v>
      </c>
      <c r="K468" s="9" t="n">
        <f aca="false">IF(J468=0,0,(J468-MIN(J$5:J$654))/(MAX(J$5:J$654)-MIN(J$5:J$654)))</f>
        <v>0</v>
      </c>
      <c r="L468" s="10" t="str">
        <f aca="false">IF(K468=0,"Very Low",IF(K468&gt;=0.6,"Very High",IF(K468&gt;=0.4,"High",IF(K468&gt;=0.2,"Moderate",IF(K468&gt;=0.1,"Low","Very Low")))))</f>
        <v>Very Low</v>
      </c>
    </row>
    <row r="469" customFormat="false" ht="15" hidden="false" customHeight="false" outlineLevel="0" collapsed="false">
      <c r="A469" s="4" t="n">
        <v>465</v>
      </c>
      <c r="B469" s="4" t="n">
        <v>272</v>
      </c>
      <c r="C469" s="5" t="s">
        <v>522</v>
      </c>
      <c r="D469" s="4" t="s">
        <v>44</v>
      </c>
      <c r="E469" s="4" t="s">
        <v>30</v>
      </c>
      <c r="F469" s="6" t="s">
        <v>31</v>
      </c>
      <c r="G469" s="7" t="n">
        <v>0</v>
      </c>
      <c r="H469" s="7" t="n">
        <v>0.31</v>
      </c>
      <c r="I469" s="7" t="n">
        <v>0.44</v>
      </c>
      <c r="J469" s="8" t="n">
        <f aca="false">IF(I469=0,0,(G469*H469)/I469)</f>
        <v>0</v>
      </c>
      <c r="K469" s="9" t="n">
        <f aca="false">IF(J469=0,0,(J469-MIN(J$5:J$654))/(MAX(J$5:J$654)-MIN(J$5:J$654)))</f>
        <v>0</v>
      </c>
      <c r="L469" s="10" t="str">
        <f aca="false">IF(K469=0,"Very Low",IF(K469&gt;=0.6,"Very High",IF(K469&gt;=0.4,"High",IF(K469&gt;=0.2,"Moderate",IF(K469&gt;=0.1,"Low","Very Low")))))</f>
        <v>Very Low</v>
      </c>
    </row>
    <row r="470" customFormat="false" ht="15" hidden="false" customHeight="false" outlineLevel="0" collapsed="false">
      <c r="A470" s="4" t="n">
        <v>466</v>
      </c>
      <c r="B470" s="4" t="n">
        <v>272</v>
      </c>
      <c r="C470" s="5" t="s">
        <v>523</v>
      </c>
      <c r="D470" s="4" t="s">
        <v>83</v>
      </c>
      <c r="E470" s="4" t="s">
        <v>24</v>
      </c>
      <c r="F470" s="6" t="s">
        <v>31</v>
      </c>
      <c r="G470" s="7" t="n">
        <v>0</v>
      </c>
      <c r="H470" s="7" t="n">
        <v>0.32</v>
      </c>
      <c r="I470" s="7" t="n">
        <v>0.48</v>
      </c>
      <c r="J470" s="8" t="n">
        <f aca="false">IF(I470=0,0,(G470*H470)/I470)</f>
        <v>0</v>
      </c>
      <c r="K470" s="9" t="n">
        <f aca="false">IF(J470=0,0,(J470-MIN(J$5:J$654))/(MAX(J$5:J$654)-MIN(J$5:J$654)))</f>
        <v>0</v>
      </c>
      <c r="L470" s="10" t="str">
        <f aca="false">IF(K470=0,"Very Low",IF(K470&gt;=0.6,"Very High",IF(K470&gt;=0.4,"High",IF(K470&gt;=0.2,"Moderate",IF(K470&gt;=0.1,"Low","Very Low")))))</f>
        <v>Very Low</v>
      </c>
    </row>
    <row r="471" customFormat="false" ht="15" hidden="false" customHeight="false" outlineLevel="0" collapsed="false">
      <c r="A471" s="4" t="n">
        <v>467</v>
      </c>
      <c r="B471" s="4" t="n">
        <v>272</v>
      </c>
      <c r="C471" s="5" t="s">
        <v>524</v>
      </c>
      <c r="D471" s="4" t="s">
        <v>106</v>
      </c>
      <c r="E471" s="4" t="s">
        <v>87</v>
      </c>
      <c r="F471" s="6" t="s">
        <v>31</v>
      </c>
      <c r="G471" s="7" t="n">
        <v>0</v>
      </c>
      <c r="H471" s="7" t="n">
        <v>0.45</v>
      </c>
      <c r="I471" s="7" t="n">
        <v>0.47</v>
      </c>
      <c r="J471" s="8" t="n">
        <f aca="false">IF(I471=0,0,(G471*H471)/I471)</f>
        <v>0</v>
      </c>
      <c r="K471" s="9" t="n">
        <f aca="false">IF(J471=0,0,(J471-MIN(J$5:J$654))/(MAX(J$5:J$654)-MIN(J$5:J$654)))</f>
        <v>0</v>
      </c>
      <c r="L471" s="10" t="str">
        <f aca="false">IF(K471=0,"Very Low",IF(K471&gt;=0.6,"Very High",IF(K471&gt;=0.4,"High",IF(K471&gt;=0.2,"Moderate",IF(K471&gt;=0.1,"Low","Very Low")))))</f>
        <v>Very Low</v>
      </c>
    </row>
    <row r="472" customFormat="false" ht="15" hidden="false" customHeight="false" outlineLevel="0" collapsed="false">
      <c r="A472" s="4" t="n">
        <v>468</v>
      </c>
      <c r="B472" s="4" t="n">
        <v>272</v>
      </c>
      <c r="C472" s="5" t="s">
        <v>525</v>
      </c>
      <c r="D472" s="4" t="s">
        <v>201</v>
      </c>
      <c r="E472" s="4" t="s">
        <v>60</v>
      </c>
      <c r="F472" s="6" t="s">
        <v>17</v>
      </c>
      <c r="G472" s="7" t="n">
        <v>0</v>
      </c>
      <c r="H472" s="7" t="n">
        <v>0.22</v>
      </c>
      <c r="I472" s="7" t="n">
        <v>0.47</v>
      </c>
      <c r="J472" s="8" t="n">
        <f aca="false">IF(I472=0,0,(G472*H472)/I472)</f>
        <v>0</v>
      </c>
      <c r="K472" s="9" t="n">
        <f aca="false">IF(J472=0,0,(J472-MIN(J$5:J$654))/(MAX(J$5:J$654)-MIN(J$5:J$654)))</f>
        <v>0</v>
      </c>
      <c r="L472" s="10" t="str">
        <f aca="false">IF(K472=0,"Very Low",IF(K472&gt;=0.6,"Very High",IF(K472&gt;=0.4,"High",IF(K472&gt;=0.2,"Moderate",IF(K472&gt;=0.1,"Low","Very Low")))))</f>
        <v>Very Low</v>
      </c>
    </row>
    <row r="473" customFormat="false" ht="15" hidden="false" customHeight="false" outlineLevel="0" collapsed="false">
      <c r="A473" s="4" t="n">
        <v>469</v>
      </c>
      <c r="B473" s="4" t="n">
        <v>272</v>
      </c>
      <c r="C473" s="5" t="s">
        <v>526</v>
      </c>
      <c r="D473" s="4" t="s">
        <v>59</v>
      </c>
      <c r="E473" s="4" t="s">
        <v>60</v>
      </c>
      <c r="F473" s="6" t="s">
        <v>31</v>
      </c>
      <c r="G473" s="7" t="n">
        <v>0</v>
      </c>
      <c r="H473" s="7" t="n">
        <v>0.09</v>
      </c>
      <c r="I473" s="7" t="n">
        <v>0.38</v>
      </c>
      <c r="J473" s="8" t="n">
        <f aca="false">IF(I473=0,0,(G473*H473)/I473)</f>
        <v>0</v>
      </c>
      <c r="K473" s="9" t="n">
        <f aca="false">IF(J473=0,0,(J473-MIN(J$5:J$654))/(MAX(J$5:J$654)-MIN(J$5:J$654)))</f>
        <v>0</v>
      </c>
      <c r="L473" s="10" t="str">
        <f aca="false">IF(K473=0,"Very Low",IF(K473&gt;=0.6,"Very High",IF(K473&gt;=0.4,"High",IF(K473&gt;=0.2,"Moderate",IF(K473&gt;=0.1,"Low","Very Low")))))</f>
        <v>Very Low</v>
      </c>
    </row>
    <row r="474" customFormat="false" ht="15" hidden="false" customHeight="false" outlineLevel="0" collapsed="false">
      <c r="A474" s="4" t="n">
        <v>470</v>
      </c>
      <c r="B474" s="4" t="n">
        <v>272</v>
      </c>
      <c r="C474" s="5" t="s">
        <v>527</v>
      </c>
      <c r="D474" s="4" t="s">
        <v>93</v>
      </c>
      <c r="E474" s="4" t="s">
        <v>24</v>
      </c>
      <c r="F474" s="6" t="s">
        <v>31</v>
      </c>
      <c r="G474" s="7" t="n">
        <v>0</v>
      </c>
      <c r="H474" s="7" t="n">
        <v>0.36</v>
      </c>
      <c r="I474" s="7" t="n">
        <v>0.44</v>
      </c>
      <c r="J474" s="8" t="n">
        <f aca="false">IF(I474=0,0,(G474*H474)/I474)</f>
        <v>0</v>
      </c>
      <c r="K474" s="9" t="n">
        <f aca="false">IF(J474=0,0,(J474-MIN(J$5:J$654))/(MAX(J$5:J$654)-MIN(J$5:J$654)))</f>
        <v>0</v>
      </c>
      <c r="L474" s="10" t="str">
        <f aca="false">IF(K474=0,"Very Low",IF(K474&gt;=0.6,"Very High",IF(K474&gt;=0.4,"High",IF(K474&gt;=0.2,"Moderate",IF(K474&gt;=0.1,"Low","Very Low")))))</f>
        <v>Very Low</v>
      </c>
    </row>
    <row r="475" customFormat="false" ht="15" hidden="false" customHeight="false" outlineLevel="0" collapsed="false">
      <c r="A475" s="4" t="n">
        <v>471</v>
      </c>
      <c r="B475" s="4" t="n">
        <v>272</v>
      </c>
      <c r="C475" s="5" t="s">
        <v>528</v>
      </c>
      <c r="D475" s="4" t="s">
        <v>260</v>
      </c>
      <c r="E475" s="4" t="s">
        <v>24</v>
      </c>
      <c r="F475" s="6" t="s">
        <v>488</v>
      </c>
      <c r="G475" s="7" t="n">
        <v>0</v>
      </c>
      <c r="H475" s="7" t="n">
        <v>0</v>
      </c>
      <c r="I475" s="7" t="n">
        <v>0.47</v>
      </c>
      <c r="J475" s="8" t="n">
        <f aca="false">IF(I475=0,0,(G475*H475)/I475)</f>
        <v>0</v>
      </c>
      <c r="K475" s="9" t="n">
        <f aca="false">IF(J475=0,0,(J475-MIN(J$5:J$654))/(MAX(J$5:J$654)-MIN(J$5:J$654)))</f>
        <v>0</v>
      </c>
      <c r="L475" s="10" t="str">
        <f aca="false">IF(K475=0,"Very Low",IF(K475&gt;=0.6,"Very High",IF(K475&gt;=0.4,"High",IF(K475&gt;=0.2,"Moderate",IF(K475&gt;=0.1,"Low","Very Low")))))</f>
        <v>Very Low</v>
      </c>
    </row>
    <row r="476" customFormat="false" ht="15" hidden="false" customHeight="false" outlineLevel="0" collapsed="false">
      <c r="A476" s="4" t="n">
        <v>472</v>
      </c>
      <c r="B476" s="11" t="s">
        <v>529</v>
      </c>
      <c r="C476" s="11" t="s">
        <v>530</v>
      </c>
      <c r="D476" s="11" t="s">
        <v>106</v>
      </c>
      <c r="E476" s="11" t="s">
        <v>87</v>
      </c>
      <c r="F476" s="11" t="s">
        <v>531</v>
      </c>
      <c r="G476" s="12" t="s">
        <v>532</v>
      </c>
      <c r="H476" s="12" t="s">
        <v>532</v>
      </c>
      <c r="I476" s="12" t="s">
        <v>532</v>
      </c>
      <c r="J476" s="12" t="s">
        <v>529</v>
      </c>
      <c r="K476" s="12" t="s">
        <v>529</v>
      </c>
      <c r="L476" s="12" t="s">
        <v>531</v>
      </c>
    </row>
    <row r="477" customFormat="false" ht="15" hidden="false" customHeight="false" outlineLevel="0" collapsed="false">
      <c r="A477" s="4" t="n">
        <v>473</v>
      </c>
      <c r="B477" s="11" t="s">
        <v>529</v>
      </c>
      <c r="C477" s="11" t="s">
        <v>533</v>
      </c>
      <c r="D477" s="11" t="s">
        <v>201</v>
      </c>
      <c r="E477" s="11" t="s">
        <v>60</v>
      </c>
      <c r="F477" s="11" t="s">
        <v>531</v>
      </c>
      <c r="G477" s="12" t="s">
        <v>532</v>
      </c>
      <c r="H477" s="12" t="s">
        <v>532</v>
      </c>
      <c r="I477" s="12" t="s">
        <v>532</v>
      </c>
      <c r="J477" s="12" t="s">
        <v>529</v>
      </c>
      <c r="K477" s="12" t="s">
        <v>529</v>
      </c>
      <c r="L477" s="12" t="s">
        <v>531</v>
      </c>
    </row>
    <row r="478" customFormat="false" ht="15" hidden="false" customHeight="false" outlineLevel="0" collapsed="false">
      <c r="A478" s="4" t="n">
        <v>474</v>
      </c>
      <c r="B478" s="11" t="s">
        <v>529</v>
      </c>
      <c r="C478" s="11" t="s">
        <v>534</v>
      </c>
      <c r="D478" s="11" t="s">
        <v>535</v>
      </c>
      <c r="E478" s="11" t="s">
        <v>60</v>
      </c>
      <c r="F478" s="11" t="s">
        <v>531</v>
      </c>
      <c r="G478" s="12" t="s">
        <v>532</v>
      </c>
      <c r="H478" s="12" t="s">
        <v>532</v>
      </c>
      <c r="I478" s="12" t="s">
        <v>532</v>
      </c>
      <c r="J478" s="12" t="s">
        <v>529</v>
      </c>
      <c r="K478" s="12" t="s">
        <v>529</v>
      </c>
      <c r="L478" s="12" t="s">
        <v>531</v>
      </c>
    </row>
    <row r="479" customFormat="false" ht="15" hidden="false" customHeight="false" outlineLevel="0" collapsed="false">
      <c r="A479" s="4" t="n">
        <v>475</v>
      </c>
      <c r="B479" s="11" t="s">
        <v>529</v>
      </c>
      <c r="C479" s="11" t="s">
        <v>536</v>
      </c>
      <c r="D479" s="11" t="s">
        <v>98</v>
      </c>
      <c r="E479" s="11" t="s">
        <v>16</v>
      </c>
      <c r="F479" s="11" t="s">
        <v>531</v>
      </c>
      <c r="G479" s="12" t="s">
        <v>532</v>
      </c>
      <c r="H479" s="12" t="s">
        <v>532</v>
      </c>
      <c r="I479" s="12" t="s">
        <v>532</v>
      </c>
      <c r="J479" s="12" t="s">
        <v>529</v>
      </c>
      <c r="K479" s="12" t="s">
        <v>529</v>
      </c>
      <c r="L479" s="12" t="s">
        <v>531</v>
      </c>
    </row>
    <row r="480" customFormat="false" ht="15" hidden="false" customHeight="false" outlineLevel="0" collapsed="false">
      <c r="A480" s="4" t="n">
        <v>476</v>
      </c>
      <c r="B480" s="11" t="s">
        <v>529</v>
      </c>
      <c r="C480" s="11" t="s">
        <v>537</v>
      </c>
      <c r="D480" s="11" t="s">
        <v>79</v>
      </c>
      <c r="E480" s="11" t="s">
        <v>60</v>
      </c>
      <c r="F480" s="11" t="s">
        <v>531</v>
      </c>
      <c r="G480" s="12" t="s">
        <v>532</v>
      </c>
      <c r="H480" s="12" t="s">
        <v>532</v>
      </c>
      <c r="I480" s="12" t="s">
        <v>532</v>
      </c>
      <c r="J480" s="12" t="s">
        <v>529</v>
      </c>
      <c r="K480" s="12" t="s">
        <v>529</v>
      </c>
      <c r="L480" s="12" t="s">
        <v>531</v>
      </c>
    </row>
    <row r="481" customFormat="false" ht="15" hidden="false" customHeight="false" outlineLevel="0" collapsed="false">
      <c r="A481" s="4" t="n">
        <v>477</v>
      </c>
      <c r="B481" s="11" t="s">
        <v>529</v>
      </c>
      <c r="C481" s="11" t="s">
        <v>538</v>
      </c>
      <c r="D481" s="11" t="s">
        <v>201</v>
      </c>
      <c r="E481" s="11" t="s">
        <v>60</v>
      </c>
      <c r="F481" s="11" t="s">
        <v>531</v>
      </c>
      <c r="G481" s="12" t="s">
        <v>532</v>
      </c>
      <c r="H481" s="12" t="s">
        <v>532</v>
      </c>
      <c r="I481" s="12" t="s">
        <v>532</v>
      </c>
      <c r="J481" s="12" t="s">
        <v>529</v>
      </c>
      <c r="K481" s="12" t="s">
        <v>529</v>
      </c>
      <c r="L481" s="12" t="s">
        <v>531</v>
      </c>
    </row>
    <row r="482" customFormat="false" ht="15" hidden="false" customHeight="false" outlineLevel="0" collapsed="false">
      <c r="A482" s="4" t="n">
        <v>478</v>
      </c>
      <c r="B482" s="11" t="s">
        <v>529</v>
      </c>
      <c r="C482" s="11" t="s">
        <v>539</v>
      </c>
      <c r="D482" s="11" t="s">
        <v>59</v>
      </c>
      <c r="E482" s="11" t="s">
        <v>60</v>
      </c>
      <c r="F482" s="11" t="s">
        <v>531</v>
      </c>
      <c r="G482" s="12" t="s">
        <v>532</v>
      </c>
      <c r="H482" s="12" t="s">
        <v>532</v>
      </c>
      <c r="I482" s="12" t="s">
        <v>532</v>
      </c>
      <c r="J482" s="12" t="s">
        <v>529</v>
      </c>
      <c r="K482" s="12" t="s">
        <v>529</v>
      </c>
      <c r="L482" s="12" t="s">
        <v>531</v>
      </c>
    </row>
    <row r="483" customFormat="false" ht="15" hidden="false" customHeight="false" outlineLevel="0" collapsed="false">
      <c r="A483" s="4" t="n">
        <v>479</v>
      </c>
      <c r="B483" s="11" t="s">
        <v>529</v>
      </c>
      <c r="C483" s="11" t="s">
        <v>540</v>
      </c>
      <c r="D483" s="11" t="s">
        <v>15</v>
      </c>
      <c r="E483" s="11" t="s">
        <v>16</v>
      </c>
      <c r="F483" s="11" t="s">
        <v>531</v>
      </c>
      <c r="G483" s="12" t="s">
        <v>532</v>
      </c>
      <c r="H483" s="12" t="s">
        <v>532</v>
      </c>
      <c r="I483" s="12" t="s">
        <v>532</v>
      </c>
      <c r="J483" s="12" t="s">
        <v>529</v>
      </c>
      <c r="K483" s="12" t="s">
        <v>529</v>
      </c>
      <c r="L483" s="12" t="s">
        <v>531</v>
      </c>
    </row>
    <row r="484" customFormat="false" ht="15" hidden="false" customHeight="false" outlineLevel="0" collapsed="false">
      <c r="A484" s="4" t="n">
        <v>480</v>
      </c>
      <c r="B484" s="11" t="s">
        <v>529</v>
      </c>
      <c r="C484" s="11" t="s">
        <v>541</v>
      </c>
      <c r="D484" s="11" t="s">
        <v>79</v>
      </c>
      <c r="E484" s="11" t="s">
        <v>60</v>
      </c>
      <c r="F484" s="11" t="s">
        <v>531</v>
      </c>
      <c r="G484" s="12" t="s">
        <v>532</v>
      </c>
      <c r="H484" s="12" t="s">
        <v>532</v>
      </c>
      <c r="I484" s="12" t="s">
        <v>532</v>
      </c>
      <c r="J484" s="12" t="s">
        <v>529</v>
      </c>
      <c r="K484" s="12" t="s">
        <v>529</v>
      </c>
      <c r="L484" s="12" t="s">
        <v>531</v>
      </c>
    </row>
    <row r="485" customFormat="false" ht="15" hidden="false" customHeight="false" outlineLevel="0" collapsed="false">
      <c r="A485" s="4" t="n">
        <v>481</v>
      </c>
      <c r="B485" s="11" t="s">
        <v>529</v>
      </c>
      <c r="C485" s="11" t="s">
        <v>542</v>
      </c>
      <c r="D485" s="11" t="s">
        <v>19</v>
      </c>
      <c r="E485" s="11" t="s">
        <v>20</v>
      </c>
      <c r="F485" s="11" t="s">
        <v>531</v>
      </c>
      <c r="G485" s="12" t="s">
        <v>532</v>
      </c>
      <c r="H485" s="12" t="s">
        <v>532</v>
      </c>
      <c r="I485" s="12" t="s">
        <v>532</v>
      </c>
      <c r="J485" s="12" t="s">
        <v>529</v>
      </c>
      <c r="K485" s="12" t="s">
        <v>529</v>
      </c>
      <c r="L485" s="12" t="s">
        <v>531</v>
      </c>
    </row>
    <row r="486" customFormat="false" ht="15" hidden="false" customHeight="false" outlineLevel="0" collapsed="false">
      <c r="A486" s="4" t="n">
        <v>482</v>
      </c>
      <c r="B486" s="11" t="s">
        <v>529</v>
      </c>
      <c r="C486" s="11" t="s">
        <v>543</v>
      </c>
      <c r="D486" s="11" t="s">
        <v>535</v>
      </c>
      <c r="E486" s="11" t="s">
        <v>60</v>
      </c>
      <c r="F486" s="11" t="s">
        <v>531</v>
      </c>
      <c r="G486" s="12" t="s">
        <v>532</v>
      </c>
      <c r="H486" s="12" t="s">
        <v>532</v>
      </c>
      <c r="I486" s="12" t="s">
        <v>532</v>
      </c>
      <c r="J486" s="12" t="s">
        <v>529</v>
      </c>
      <c r="K486" s="12" t="s">
        <v>529</v>
      </c>
      <c r="L486" s="12" t="s">
        <v>531</v>
      </c>
    </row>
    <row r="487" customFormat="false" ht="15" hidden="false" customHeight="false" outlineLevel="0" collapsed="false">
      <c r="A487" s="4" t="n">
        <v>483</v>
      </c>
      <c r="B487" s="11" t="s">
        <v>529</v>
      </c>
      <c r="C487" s="11" t="s">
        <v>544</v>
      </c>
      <c r="D487" s="11" t="s">
        <v>106</v>
      </c>
      <c r="E487" s="11" t="s">
        <v>87</v>
      </c>
      <c r="F487" s="11" t="s">
        <v>531</v>
      </c>
      <c r="G487" s="12" t="s">
        <v>532</v>
      </c>
      <c r="H487" s="12" t="s">
        <v>532</v>
      </c>
      <c r="I487" s="12" t="s">
        <v>532</v>
      </c>
      <c r="J487" s="12" t="s">
        <v>529</v>
      </c>
      <c r="K487" s="12" t="s">
        <v>529</v>
      </c>
      <c r="L487" s="12" t="s">
        <v>531</v>
      </c>
    </row>
    <row r="488" customFormat="false" ht="15" hidden="false" customHeight="false" outlineLevel="0" collapsed="false">
      <c r="A488" s="4" t="n">
        <v>484</v>
      </c>
      <c r="B488" s="11" t="s">
        <v>529</v>
      </c>
      <c r="C488" s="11" t="s">
        <v>545</v>
      </c>
      <c r="D488" s="11" t="s">
        <v>86</v>
      </c>
      <c r="E488" s="11" t="s">
        <v>87</v>
      </c>
      <c r="F488" s="11" t="s">
        <v>531</v>
      </c>
      <c r="G488" s="12" t="s">
        <v>532</v>
      </c>
      <c r="H488" s="12" t="s">
        <v>532</v>
      </c>
      <c r="I488" s="12" t="s">
        <v>532</v>
      </c>
      <c r="J488" s="12" t="s">
        <v>529</v>
      </c>
      <c r="K488" s="12" t="s">
        <v>529</v>
      </c>
      <c r="L488" s="12" t="s">
        <v>531</v>
      </c>
    </row>
    <row r="489" customFormat="false" ht="15" hidden="false" customHeight="false" outlineLevel="0" collapsed="false">
      <c r="A489" s="4" t="n">
        <v>485</v>
      </c>
      <c r="B489" s="11" t="s">
        <v>529</v>
      </c>
      <c r="C489" s="11" t="s">
        <v>546</v>
      </c>
      <c r="D489" s="11" t="s">
        <v>535</v>
      </c>
      <c r="E489" s="11" t="s">
        <v>60</v>
      </c>
      <c r="F489" s="11" t="s">
        <v>531</v>
      </c>
      <c r="G489" s="12" t="s">
        <v>532</v>
      </c>
      <c r="H489" s="12" t="s">
        <v>532</v>
      </c>
      <c r="I489" s="12" t="s">
        <v>532</v>
      </c>
      <c r="J489" s="12" t="s">
        <v>529</v>
      </c>
      <c r="K489" s="12" t="s">
        <v>529</v>
      </c>
      <c r="L489" s="12" t="s">
        <v>531</v>
      </c>
    </row>
    <row r="490" customFormat="false" ht="15" hidden="false" customHeight="false" outlineLevel="0" collapsed="false">
      <c r="A490" s="4" t="n">
        <v>486</v>
      </c>
      <c r="B490" s="11" t="s">
        <v>529</v>
      </c>
      <c r="C490" s="11" t="s">
        <v>547</v>
      </c>
      <c r="D490" s="11" t="s">
        <v>106</v>
      </c>
      <c r="E490" s="11" t="s">
        <v>87</v>
      </c>
      <c r="F490" s="11" t="s">
        <v>531</v>
      </c>
      <c r="G490" s="12" t="s">
        <v>532</v>
      </c>
      <c r="H490" s="12" t="s">
        <v>532</v>
      </c>
      <c r="I490" s="12" t="s">
        <v>532</v>
      </c>
      <c r="J490" s="12" t="s">
        <v>529</v>
      </c>
      <c r="K490" s="12" t="s">
        <v>529</v>
      </c>
      <c r="L490" s="12" t="s">
        <v>531</v>
      </c>
    </row>
    <row r="491" customFormat="false" ht="15" hidden="false" customHeight="false" outlineLevel="0" collapsed="false">
      <c r="A491" s="4" t="n">
        <v>487</v>
      </c>
      <c r="B491" s="11" t="s">
        <v>529</v>
      </c>
      <c r="C491" s="11" t="s">
        <v>548</v>
      </c>
      <c r="D491" s="11" t="s">
        <v>44</v>
      </c>
      <c r="E491" s="11" t="s">
        <v>30</v>
      </c>
      <c r="F491" s="11" t="s">
        <v>531</v>
      </c>
      <c r="G491" s="12" t="s">
        <v>532</v>
      </c>
      <c r="H491" s="12" t="s">
        <v>532</v>
      </c>
      <c r="I491" s="12" t="s">
        <v>532</v>
      </c>
      <c r="J491" s="12" t="s">
        <v>529</v>
      </c>
      <c r="K491" s="12" t="s">
        <v>529</v>
      </c>
      <c r="L491" s="12" t="s">
        <v>531</v>
      </c>
    </row>
    <row r="492" customFormat="false" ht="15" hidden="false" customHeight="false" outlineLevel="0" collapsed="false">
      <c r="A492" s="4" t="n">
        <v>488</v>
      </c>
      <c r="B492" s="11" t="s">
        <v>529</v>
      </c>
      <c r="C492" s="11" t="s">
        <v>549</v>
      </c>
      <c r="D492" s="11" t="s">
        <v>19</v>
      </c>
      <c r="E492" s="11" t="s">
        <v>20</v>
      </c>
      <c r="F492" s="11" t="s">
        <v>531</v>
      </c>
      <c r="G492" s="12" t="s">
        <v>532</v>
      </c>
      <c r="H492" s="12" t="s">
        <v>532</v>
      </c>
      <c r="I492" s="12" t="s">
        <v>532</v>
      </c>
      <c r="J492" s="12" t="s">
        <v>529</v>
      </c>
      <c r="K492" s="12" t="s">
        <v>529</v>
      </c>
      <c r="L492" s="12" t="s">
        <v>531</v>
      </c>
    </row>
    <row r="493" customFormat="false" ht="15" hidden="false" customHeight="false" outlineLevel="0" collapsed="false">
      <c r="A493" s="4" t="n">
        <v>489</v>
      </c>
      <c r="B493" s="11" t="s">
        <v>529</v>
      </c>
      <c r="C493" s="11" t="s">
        <v>550</v>
      </c>
      <c r="D493" s="11" t="s">
        <v>256</v>
      </c>
      <c r="E493" s="11" t="s">
        <v>60</v>
      </c>
      <c r="F493" s="11" t="s">
        <v>531</v>
      </c>
      <c r="G493" s="12" t="s">
        <v>532</v>
      </c>
      <c r="H493" s="12" t="s">
        <v>532</v>
      </c>
      <c r="I493" s="12" t="s">
        <v>532</v>
      </c>
      <c r="J493" s="12" t="s">
        <v>529</v>
      </c>
      <c r="K493" s="12" t="s">
        <v>529</v>
      </c>
      <c r="L493" s="12" t="s">
        <v>531</v>
      </c>
    </row>
    <row r="494" customFormat="false" ht="15" hidden="false" customHeight="false" outlineLevel="0" collapsed="false">
      <c r="A494" s="4" t="n">
        <v>490</v>
      </c>
      <c r="B494" s="11" t="s">
        <v>529</v>
      </c>
      <c r="C494" s="11" t="s">
        <v>551</v>
      </c>
      <c r="D494" s="11" t="s">
        <v>162</v>
      </c>
      <c r="E494" s="11" t="s">
        <v>60</v>
      </c>
      <c r="F494" s="11" t="s">
        <v>531</v>
      </c>
      <c r="G494" s="12" t="s">
        <v>532</v>
      </c>
      <c r="H494" s="12" t="s">
        <v>532</v>
      </c>
      <c r="I494" s="12" t="s">
        <v>532</v>
      </c>
      <c r="J494" s="12" t="s">
        <v>529</v>
      </c>
      <c r="K494" s="12" t="s">
        <v>529</v>
      </c>
      <c r="L494" s="12" t="s">
        <v>531</v>
      </c>
    </row>
    <row r="495" customFormat="false" ht="15" hidden="false" customHeight="false" outlineLevel="0" collapsed="false">
      <c r="A495" s="4" t="n">
        <v>491</v>
      </c>
      <c r="B495" s="11" t="s">
        <v>529</v>
      </c>
      <c r="C495" s="11" t="s">
        <v>552</v>
      </c>
      <c r="D495" s="11" t="s">
        <v>201</v>
      </c>
      <c r="E495" s="11" t="s">
        <v>60</v>
      </c>
      <c r="F495" s="11" t="s">
        <v>531</v>
      </c>
      <c r="G495" s="12" t="s">
        <v>532</v>
      </c>
      <c r="H495" s="12" t="s">
        <v>532</v>
      </c>
      <c r="I495" s="12" t="s">
        <v>532</v>
      </c>
      <c r="J495" s="12" t="s">
        <v>529</v>
      </c>
      <c r="K495" s="12" t="s">
        <v>529</v>
      </c>
      <c r="L495" s="12" t="s">
        <v>531</v>
      </c>
    </row>
    <row r="496" customFormat="false" ht="15" hidden="false" customHeight="false" outlineLevel="0" collapsed="false">
      <c r="A496" s="4" t="n">
        <v>492</v>
      </c>
      <c r="B496" s="11" t="s">
        <v>529</v>
      </c>
      <c r="C496" s="11" t="s">
        <v>553</v>
      </c>
      <c r="D496" s="11" t="s">
        <v>201</v>
      </c>
      <c r="E496" s="11" t="s">
        <v>60</v>
      </c>
      <c r="F496" s="11" t="s">
        <v>531</v>
      </c>
      <c r="G496" s="12" t="s">
        <v>532</v>
      </c>
      <c r="H496" s="12" t="s">
        <v>532</v>
      </c>
      <c r="I496" s="12" t="s">
        <v>532</v>
      </c>
      <c r="J496" s="12" t="s">
        <v>529</v>
      </c>
      <c r="K496" s="12" t="s">
        <v>529</v>
      </c>
      <c r="L496" s="12" t="s">
        <v>531</v>
      </c>
    </row>
    <row r="497" customFormat="false" ht="15" hidden="false" customHeight="false" outlineLevel="0" collapsed="false">
      <c r="A497" s="4" t="n">
        <v>493</v>
      </c>
      <c r="B497" s="11" t="s">
        <v>529</v>
      </c>
      <c r="C497" s="11" t="s">
        <v>554</v>
      </c>
      <c r="D497" s="11" t="s">
        <v>401</v>
      </c>
      <c r="E497" s="11" t="s">
        <v>16</v>
      </c>
      <c r="F497" s="11" t="s">
        <v>531</v>
      </c>
      <c r="G497" s="12" t="s">
        <v>532</v>
      </c>
      <c r="H497" s="12" t="s">
        <v>532</v>
      </c>
      <c r="I497" s="12" t="s">
        <v>532</v>
      </c>
      <c r="J497" s="12" t="s">
        <v>529</v>
      </c>
      <c r="K497" s="12" t="s">
        <v>529</v>
      </c>
      <c r="L497" s="12" t="s">
        <v>531</v>
      </c>
    </row>
    <row r="498" customFormat="false" ht="15" hidden="false" customHeight="false" outlineLevel="0" collapsed="false">
      <c r="A498" s="4" t="n">
        <v>494</v>
      </c>
      <c r="B498" s="11" t="s">
        <v>529</v>
      </c>
      <c r="C498" s="11" t="s">
        <v>555</v>
      </c>
      <c r="D498" s="11" t="s">
        <v>98</v>
      </c>
      <c r="E498" s="11" t="s">
        <v>16</v>
      </c>
      <c r="F498" s="11" t="s">
        <v>531</v>
      </c>
      <c r="G498" s="12" t="s">
        <v>532</v>
      </c>
      <c r="H498" s="12" t="s">
        <v>532</v>
      </c>
      <c r="I498" s="12" t="s">
        <v>532</v>
      </c>
      <c r="J498" s="12" t="s">
        <v>529</v>
      </c>
      <c r="K498" s="12" t="s">
        <v>529</v>
      </c>
      <c r="L498" s="12" t="s">
        <v>531</v>
      </c>
    </row>
    <row r="499" customFormat="false" ht="15" hidden="false" customHeight="false" outlineLevel="0" collapsed="false">
      <c r="A499" s="4" t="n">
        <v>495</v>
      </c>
      <c r="B499" s="11" t="s">
        <v>529</v>
      </c>
      <c r="C499" s="11" t="s">
        <v>556</v>
      </c>
      <c r="D499" s="11" t="s">
        <v>106</v>
      </c>
      <c r="E499" s="11" t="s">
        <v>87</v>
      </c>
      <c r="F499" s="11" t="s">
        <v>531</v>
      </c>
      <c r="G499" s="12" t="s">
        <v>532</v>
      </c>
      <c r="H499" s="12" t="s">
        <v>532</v>
      </c>
      <c r="I499" s="12" t="s">
        <v>532</v>
      </c>
      <c r="J499" s="12" t="s">
        <v>529</v>
      </c>
      <c r="K499" s="12" t="s">
        <v>529</v>
      </c>
      <c r="L499" s="12" t="s">
        <v>531</v>
      </c>
    </row>
    <row r="500" customFormat="false" ht="15" hidden="false" customHeight="false" outlineLevel="0" collapsed="false">
      <c r="A500" s="4" t="n">
        <v>496</v>
      </c>
      <c r="B500" s="11" t="s">
        <v>529</v>
      </c>
      <c r="C500" s="11" t="s">
        <v>557</v>
      </c>
      <c r="D500" s="11" t="s">
        <v>38</v>
      </c>
      <c r="E500" s="11" t="s">
        <v>16</v>
      </c>
      <c r="F500" s="11" t="s">
        <v>531</v>
      </c>
      <c r="G500" s="12" t="s">
        <v>532</v>
      </c>
      <c r="H500" s="12" t="s">
        <v>532</v>
      </c>
      <c r="I500" s="12" t="s">
        <v>532</v>
      </c>
      <c r="J500" s="12" t="s">
        <v>529</v>
      </c>
      <c r="K500" s="12" t="s">
        <v>529</v>
      </c>
      <c r="L500" s="12" t="s">
        <v>531</v>
      </c>
    </row>
    <row r="501" customFormat="false" ht="15" hidden="false" customHeight="false" outlineLevel="0" collapsed="false">
      <c r="A501" s="4" t="n">
        <v>497</v>
      </c>
      <c r="B501" s="11" t="s">
        <v>529</v>
      </c>
      <c r="C501" s="11" t="s">
        <v>558</v>
      </c>
      <c r="D501" s="11" t="s">
        <v>95</v>
      </c>
      <c r="E501" s="11" t="s">
        <v>20</v>
      </c>
      <c r="F501" s="11" t="s">
        <v>531</v>
      </c>
      <c r="G501" s="12" t="s">
        <v>532</v>
      </c>
      <c r="H501" s="12" t="s">
        <v>532</v>
      </c>
      <c r="I501" s="12" t="s">
        <v>532</v>
      </c>
      <c r="J501" s="12" t="s">
        <v>529</v>
      </c>
      <c r="K501" s="12" t="s">
        <v>529</v>
      </c>
      <c r="L501" s="12" t="s">
        <v>531</v>
      </c>
    </row>
    <row r="502" customFormat="false" ht="15" hidden="false" customHeight="false" outlineLevel="0" collapsed="false">
      <c r="A502" s="4" t="n">
        <v>498</v>
      </c>
      <c r="B502" s="11" t="s">
        <v>529</v>
      </c>
      <c r="C502" s="11" t="s">
        <v>559</v>
      </c>
      <c r="D502" s="11" t="s">
        <v>559</v>
      </c>
      <c r="E502" s="11" t="s">
        <v>30</v>
      </c>
      <c r="F502" s="11" t="s">
        <v>531</v>
      </c>
      <c r="G502" s="12" t="s">
        <v>532</v>
      </c>
      <c r="H502" s="12" t="s">
        <v>532</v>
      </c>
      <c r="I502" s="12" t="s">
        <v>532</v>
      </c>
      <c r="J502" s="12" t="s">
        <v>529</v>
      </c>
      <c r="K502" s="12" t="s">
        <v>529</v>
      </c>
      <c r="L502" s="12" t="s">
        <v>531</v>
      </c>
    </row>
    <row r="503" customFormat="false" ht="15" hidden="false" customHeight="false" outlineLevel="0" collapsed="false">
      <c r="A503" s="4" t="n">
        <v>499</v>
      </c>
      <c r="B503" s="11" t="s">
        <v>529</v>
      </c>
      <c r="C503" s="11" t="s">
        <v>560</v>
      </c>
      <c r="D503" s="11" t="s">
        <v>108</v>
      </c>
      <c r="E503" s="11" t="s">
        <v>30</v>
      </c>
      <c r="F503" s="11" t="s">
        <v>531</v>
      </c>
      <c r="G503" s="12" t="s">
        <v>532</v>
      </c>
      <c r="H503" s="12" t="s">
        <v>532</v>
      </c>
      <c r="I503" s="12" t="s">
        <v>532</v>
      </c>
      <c r="J503" s="12" t="s">
        <v>529</v>
      </c>
      <c r="K503" s="12" t="s">
        <v>529</v>
      </c>
      <c r="L503" s="12" t="s">
        <v>531</v>
      </c>
    </row>
    <row r="504" customFormat="false" ht="15" hidden="false" customHeight="false" outlineLevel="0" collapsed="false">
      <c r="A504" s="4" t="n">
        <v>500</v>
      </c>
      <c r="B504" s="11" t="s">
        <v>529</v>
      </c>
      <c r="C504" s="11" t="s">
        <v>561</v>
      </c>
      <c r="D504" s="11" t="s">
        <v>95</v>
      </c>
      <c r="E504" s="11" t="s">
        <v>20</v>
      </c>
      <c r="F504" s="11" t="s">
        <v>531</v>
      </c>
      <c r="G504" s="12" t="s">
        <v>532</v>
      </c>
      <c r="H504" s="12" t="s">
        <v>532</v>
      </c>
      <c r="I504" s="12" t="s">
        <v>532</v>
      </c>
      <c r="J504" s="12" t="s">
        <v>529</v>
      </c>
      <c r="K504" s="12" t="s">
        <v>529</v>
      </c>
      <c r="L504" s="12" t="s">
        <v>531</v>
      </c>
    </row>
    <row r="505" customFormat="false" ht="15" hidden="false" customHeight="false" outlineLevel="0" collapsed="false">
      <c r="A505" s="4" t="n">
        <v>501</v>
      </c>
      <c r="B505" s="11" t="s">
        <v>529</v>
      </c>
      <c r="C505" s="11" t="s">
        <v>562</v>
      </c>
      <c r="D505" s="11" t="s">
        <v>563</v>
      </c>
      <c r="E505" s="11" t="s">
        <v>30</v>
      </c>
      <c r="F505" s="11" t="s">
        <v>531</v>
      </c>
      <c r="G505" s="12" t="s">
        <v>532</v>
      </c>
      <c r="H505" s="12" t="s">
        <v>532</v>
      </c>
      <c r="I505" s="12" t="s">
        <v>532</v>
      </c>
      <c r="J505" s="12" t="s">
        <v>529</v>
      </c>
      <c r="K505" s="12" t="s">
        <v>529</v>
      </c>
      <c r="L505" s="12" t="s">
        <v>531</v>
      </c>
    </row>
    <row r="506" customFormat="false" ht="15" hidden="false" customHeight="false" outlineLevel="0" collapsed="false">
      <c r="A506" s="4" t="n">
        <v>502</v>
      </c>
      <c r="B506" s="11" t="s">
        <v>529</v>
      </c>
      <c r="C506" s="11" t="s">
        <v>564</v>
      </c>
      <c r="D506" s="11" t="s">
        <v>86</v>
      </c>
      <c r="E506" s="11" t="s">
        <v>87</v>
      </c>
      <c r="F506" s="11" t="s">
        <v>531</v>
      </c>
      <c r="G506" s="12" t="s">
        <v>532</v>
      </c>
      <c r="H506" s="12" t="s">
        <v>532</v>
      </c>
      <c r="I506" s="12" t="s">
        <v>532</v>
      </c>
      <c r="J506" s="12" t="s">
        <v>529</v>
      </c>
      <c r="K506" s="12" t="s">
        <v>529</v>
      </c>
      <c r="L506" s="12" t="s">
        <v>531</v>
      </c>
    </row>
    <row r="507" customFormat="false" ht="15" hidden="false" customHeight="false" outlineLevel="0" collapsed="false">
      <c r="A507" s="4" t="n">
        <v>503</v>
      </c>
      <c r="B507" s="11" t="s">
        <v>529</v>
      </c>
      <c r="C507" s="11" t="s">
        <v>565</v>
      </c>
      <c r="D507" s="11" t="s">
        <v>19</v>
      </c>
      <c r="E507" s="11" t="s">
        <v>20</v>
      </c>
      <c r="F507" s="11" t="s">
        <v>531</v>
      </c>
      <c r="G507" s="12" t="s">
        <v>532</v>
      </c>
      <c r="H507" s="12" t="s">
        <v>532</v>
      </c>
      <c r="I507" s="12" t="s">
        <v>532</v>
      </c>
      <c r="J507" s="12" t="s">
        <v>529</v>
      </c>
      <c r="K507" s="12" t="s">
        <v>529</v>
      </c>
      <c r="L507" s="12" t="s">
        <v>531</v>
      </c>
    </row>
    <row r="508" customFormat="false" ht="15" hidden="false" customHeight="false" outlineLevel="0" collapsed="false">
      <c r="A508" s="4" t="n">
        <v>504</v>
      </c>
      <c r="B508" s="11" t="s">
        <v>529</v>
      </c>
      <c r="C508" s="11" t="s">
        <v>566</v>
      </c>
      <c r="D508" s="11" t="s">
        <v>201</v>
      </c>
      <c r="E508" s="11" t="s">
        <v>60</v>
      </c>
      <c r="F508" s="11" t="s">
        <v>531</v>
      </c>
      <c r="G508" s="12" t="s">
        <v>532</v>
      </c>
      <c r="H508" s="12" t="s">
        <v>532</v>
      </c>
      <c r="I508" s="12" t="s">
        <v>532</v>
      </c>
      <c r="J508" s="12" t="s">
        <v>529</v>
      </c>
      <c r="K508" s="12" t="s">
        <v>529</v>
      </c>
      <c r="L508" s="12" t="s">
        <v>531</v>
      </c>
    </row>
    <row r="509" customFormat="false" ht="15" hidden="false" customHeight="false" outlineLevel="0" collapsed="false">
      <c r="A509" s="4" t="n">
        <v>505</v>
      </c>
      <c r="B509" s="11" t="s">
        <v>529</v>
      </c>
      <c r="C509" s="11" t="s">
        <v>567</v>
      </c>
      <c r="D509" s="11" t="s">
        <v>44</v>
      </c>
      <c r="E509" s="11" t="s">
        <v>30</v>
      </c>
      <c r="F509" s="11" t="s">
        <v>531</v>
      </c>
      <c r="G509" s="12" t="s">
        <v>532</v>
      </c>
      <c r="H509" s="12" t="s">
        <v>532</v>
      </c>
      <c r="I509" s="12" t="s">
        <v>532</v>
      </c>
      <c r="J509" s="12" t="s">
        <v>529</v>
      </c>
      <c r="K509" s="12" t="s">
        <v>529</v>
      </c>
      <c r="L509" s="12" t="s">
        <v>531</v>
      </c>
    </row>
    <row r="510" customFormat="false" ht="15" hidden="false" customHeight="false" outlineLevel="0" collapsed="false">
      <c r="A510" s="4" t="n">
        <v>506</v>
      </c>
      <c r="B510" s="11" t="s">
        <v>529</v>
      </c>
      <c r="C510" s="11" t="s">
        <v>568</v>
      </c>
      <c r="D510" s="11" t="s">
        <v>98</v>
      </c>
      <c r="E510" s="11" t="s">
        <v>16</v>
      </c>
      <c r="F510" s="11" t="s">
        <v>531</v>
      </c>
      <c r="G510" s="12" t="s">
        <v>532</v>
      </c>
      <c r="H510" s="12" t="s">
        <v>532</v>
      </c>
      <c r="I510" s="12" t="s">
        <v>532</v>
      </c>
      <c r="J510" s="12" t="s">
        <v>529</v>
      </c>
      <c r="K510" s="12" t="s">
        <v>529</v>
      </c>
      <c r="L510" s="12" t="s">
        <v>531</v>
      </c>
    </row>
    <row r="511" customFormat="false" ht="15" hidden="false" customHeight="false" outlineLevel="0" collapsed="false">
      <c r="A511" s="4" t="n">
        <v>507</v>
      </c>
      <c r="B511" s="11" t="s">
        <v>529</v>
      </c>
      <c r="C511" s="11" t="s">
        <v>569</v>
      </c>
      <c r="D511" s="11" t="s">
        <v>15</v>
      </c>
      <c r="E511" s="11" t="s">
        <v>16</v>
      </c>
      <c r="F511" s="11" t="s">
        <v>531</v>
      </c>
      <c r="G511" s="12" t="s">
        <v>532</v>
      </c>
      <c r="H511" s="12" t="s">
        <v>532</v>
      </c>
      <c r="I511" s="12" t="s">
        <v>532</v>
      </c>
      <c r="J511" s="12" t="s">
        <v>529</v>
      </c>
      <c r="K511" s="12" t="s">
        <v>529</v>
      </c>
      <c r="L511" s="12" t="s">
        <v>531</v>
      </c>
    </row>
    <row r="512" customFormat="false" ht="15" hidden="false" customHeight="false" outlineLevel="0" collapsed="false">
      <c r="A512" s="4" t="n">
        <v>508</v>
      </c>
      <c r="B512" s="11" t="s">
        <v>529</v>
      </c>
      <c r="C512" s="11" t="s">
        <v>570</v>
      </c>
      <c r="D512" s="11" t="s">
        <v>563</v>
      </c>
      <c r="E512" s="11" t="s">
        <v>30</v>
      </c>
      <c r="F512" s="11" t="s">
        <v>531</v>
      </c>
      <c r="G512" s="12" t="s">
        <v>532</v>
      </c>
      <c r="H512" s="12" t="s">
        <v>532</v>
      </c>
      <c r="I512" s="12" t="s">
        <v>532</v>
      </c>
      <c r="J512" s="12" t="s">
        <v>529</v>
      </c>
      <c r="K512" s="12" t="s">
        <v>529</v>
      </c>
      <c r="L512" s="12" t="s">
        <v>531</v>
      </c>
    </row>
    <row r="513" customFormat="false" ht="15" hidden="false" customHeight="false" outlineLevel="0" collapsed="false">
      <c r="A513" s="4" t="n">
        <v>509</v>
      </c>
      <c r="B513" s="11" t="s">
        <v>529</v>
      </c>
      <c r="C513" s="11" t="s">
        <v>571</v>
      </c>
      <c r="D513" s="11" t="s">
        <v>209</v>
      </c>
      <c r="E513" s="11" t="s">
        <v>16</v>
      </c>
      <c r="F513" s="11" t="s">
        <v>531</v>
      </c>
      <c r="G513" s="12" t="s">
        <v>532</v>
      </c>
      <c r="H513" s="12" t="s">
        <v>532</v>
      </c>
      <c r="I513" s="12" t="s">
        <v>532</v>
      </c>
      <c r="J513" s="12" t="s">
        <v>529</v>
      </c>
      <c r="K513" s="12" t="s">
        <v>529</v>
      </c>
      <c r="L513" s="12" t="s">
        <v>531</v>
      </c>
    </row>
    <row r="514" customFormat="false" ht="15" hidden="false" customHeight="false" outlineLevel="0" collapsed="false">
      <c r="A514" s="4" t="n">
        <v>510</v>
      </c>
      <c r="B514" s="11" t="s">
        <v>529</v>
      </c>
      <c r="C514" s="11" t="s">
        <v>572</v>
      </c>
      <c r="D514" s="11" t="s">
        <v>256</v>
      </c>
      <c r="E514" s="11" t="s">
        <v>60</v>
      </c>
      <c r="F514" s="11" t="s">
        <v>531</v>
      </c>
      <c r="G514" s="12" t="s">
        <v>532</v>
      </c>
      <c r="H514" s="12" t="s">
        <v>532</v>
      </c>
      <c r="I514" s="12" t="s">
        <v>532</v>
      </c>
      <c r="J514" s="12" t="s">
        <v>529</v>
      </c>
      <c r="K514" s="12" t="s">
        <v>529</v>
      </c>
      <c r="L514" s="12" t="s">
        <v>531</v>
      </c>
    </row>
    <row r="515" customFormat="false" ht="15" hidden="false" customHeight="false" outlineLevel="0" collapsed="false">
      <c r="A515" s="4" t="n">
        <v>511</v>
      </c>
      <c r="B515" s="11" t="s">
        <v>529</v>
      </c>
      <c r="C515" s="11" t="s">
        <v>573</v>
      </c>
      <c r="D515" s="11" t="s">
        <v>517</v>
      </c>
      <c r="E515" s="11" t="s">
        <v>16</v>
      </c>
      <c r="F515" s="11" t="s">
        <v>531</v>
      </c>
      <c r="G515" s="12" t="s">
        <v>532</v>
      </c>
      <c r="H515" s="12" t="s">
        <v>532</v>
      </c>
      <c r="I515" s="12" t="s">
        <v>532</v>
      </c>
      <c r="J515" s="12" t="s">
        <v>529</v>
      </c>
      <c r="K515" s="12" t="s">
        <v>529</v>
      </c>
      <c r="L515" s="12" t="s">
        <v>531</v>
      </c>
    </row>
    <row r="516" customFormat="false" ht="15" hidden="false" customHeight="false" outlineLevel="0" collapsed="false">
      <c r="A516" s="4" t="n">
        <v>512</v>
      </c>
      <c r="B516" s="11" t="s">
        <v>529</v>
      </c>
      <c r="C516" s="11" t="s">
        <v>574</v>
      </c>
      <c r="D516" s="11" t="s">
        <v>517</v>
      </c>
      <c r="E516" s="11" t="s">
        <v>16</v>
      </c>
      <c r="F516" s="11" t="s">
        <v>531</v>
      </c>
      <c r="G516" s="12" t="s">
        <v>532</v>
      </c>
      <c r="H516" s="12" t="s">
        <v>532</v>
      </c>
      <c r="I516" s="12" t="s">
        <v>532</v>
      </c>
      <c r="J516" s="12" t="s">
        <v>529</v>
      </c>
      <c r="K516" s="12" t="s">
        <v>529</v>
      </c>
      <c r="L516" s="12" t="s">
        <v>531</v>
      </c>
    </row>
    <row r="517" customFormat="false" ht="15" hidden="false" customHeight="false" outlineLevel="0" collapsed="false">
      <c r="A517" s="4" t="n">
        <v>513</v>
      </c>
      <c r="B517" s="11" t="s">
        <v>529</v>
      </c>
      <c r="C517" s="11" t="s">
        <v>575</v>
      </c>
      <c r="D517" s="11" t="s">
        <v>98</v>
      </c>
      <c r="E517" s="11" t="s">
        <v>16</v>
      </c>
      <c r="F517" s="11" t="s">
        <v>531</v>
      </c>
      <c r="G517" s="12" t="s">
        <v>532</v>
      </c>
      <c r="H517" s="12" t="s">
        <v>532</v>
      </c>
      <c r="I517" s="12" t="s">
        <v>532</v>
      </c>
      <c r="J517" s="12" t="s">
        <v>529</v>
      </c>
      <c r="K517" s="12" t="s">
        <v>529</v>
      </c>
      <c r="L517" s="12" t="s">
        <v>531</v>
      </c>
    </row>
    <row r="518" customFormat="false" ht="15" hidden="false" customHeight="false" outlineLevel="0" collapsed="false">
      <c r="A518" s="4" t="n">
        <v>514</v>
      </c>
      <c r="B518" s="11" t="s">
        <v>529</v>
      </c>
      <c r="C518" s="11" t="s">
        <v>576</v>
      </c>
      <c r="D518" s="11" t="s">
        <v>517</v>
      </c>
      <c r="E518" s="11" t="s">
        <v>16</v>
      </c>
      <c r="F518" s="11" t="s">
        <v>531</v>
      </c>
      <c r="G518" s="12" t="s">
        <v>532</v>
      </c>
      <c r="H518" s="12" t="s">
        <v>532</v>
      </c>
      <c r="I518" s="12" t="s">
        <v>532</v>
      </c>
      <c r="J518" s="12" t="s">
        <v>529</v>
      </c>
      <c r="K518" s="12" t="s">
        <v>529</v>
      </c>
      <c r="L518" s="12" t="s">
        <v>531</v>
      </c>
    </row>
    <row r="519" customFormat="false" ht="15" hidden="false" customHeight="false" outlineLevel="0" collapsed="false">
      <c r="A519" s="4" t="n">
        <v>515</v>
      </c>
      <c r="B519" s="11" t="s">
        <v>529</v>
      </c>
      <c r="C519" s="11" t="s">
        <v>577</v>
      </c>
      <c r="D519" s="11" t="s">
        <v>279</v>
      </c>
      <c r="E519" s="11" t="s">
        <v>20</v>
      </c>
      <c r="F519" s="11" t="s">
        <v>531</v>
      </c>
      <c r="G519" s="12" t="s">
        <v>532</v>
      </c>
      <c r="H519" s="12" t="s">
        <v>532</v>
      </c>
      <c r="I519" s="12" t="s">
        <v>532</v>
      </c>
      <c r="J519" s="12" t="s">
        <v>529</v>
      </c>
      <c r="K519" s="12" t="s">
        <v>529</v>
      </c>
      <c r="L519" s="12" t="s">
        <v>531</v>
      </c>
    </row>
    <row r="520" customFormat="false" ht="15" hidden="false" customHeight="false" outlineLevel="0" collapsed="false">
      <c r="A520" s="4" t="n">
        <v>516</v>
      </c>
      <c r="B520" s="11" t="s">
        <v>529</v>
      </c>
      <c r="C520" s="11" t="s">
        <v>578</v>
      </c>
      <c r="D520" s="11" t="s">
        <v>74</v>
      </c>
      <c r="E520" s="11" t="s">
        <v>60</v>
      </c>
      <c r="F520" s="11" t="s">
        <v>531</v>
      </c>
      <c r="G520" s="12" t="s">
        <v>532</v>
      </c>
      <c r="H520" s="12" t="s">
        <v>532</v>
      </c>
      <c r="I520" s="12" t="s">
        <v>532</v>
      </c>
      <c r="J520" s="12" t="s">
        <v>529</v>
      </c>
      <c r="K520" s="12" t="s">
        <v>529</v>
      </c>
      <c r="L520" s="12" t="s">
        <v>531</v>
      </c>
    </row>
    <row r="521" customFormat="false" ht="15" hidden="false" customHeight="false" outlineLevel="0" collapsed="false">
      <c r="A521" s="4" t="n">
        <v>517</v>
      </c>
      <c r="B521" s="11" t="s">
        <v>529</v>
      </c>
      <c r="C521" s="11" t="s">
        <v>579</v>
      </c>
      <c r="D521" s="11" t="s">
        <v>535</v>
      </c>
      <c r="E521" s="11" t="s">
        <v>60</v>
      </c>
      <c r="F521" s="11" t="s">
        <v>531</v>
      </c>
      <c r="G521" s="12" t="s">
        <v>532</v>
      </c>
      <c r="H521" s="12" t="s">
        <v>532</v>
      </c>
      <c r="I521" s="12" t="s">
        <v>532</v>
      </c>
      <c r="J521" s="12" t="s">
        <v>529</v>
      </c>
      <c r="K521" s="12" t="s">
        <v>529</v>
      </c>
      <c r="L521" s="12" t="s">
        <v>531</v>
      </c>
    </row>
    <row r="522" customFormat="false" ht="15" hidden="false" customHeight="false" outlineLevel="0" collapsed="false">
      <c r="A522" s="4" t="n">
        <v>518</v>
      </c>
      <c r="B522" s="11" t="s">
        <v>529</v>
      </c>
      <c r="C522" s="11" t="s">
        <v>580</v>
      </c>
      <c r="D522" s="11" t="s">
        <v>74</v>
      </c>
      <c r="E522" s="11" t="s">
        <v>60</v>
      </c>
      <c r="F522" s="11" t="s">
        <v>531</v>
      </c>
      <c r="G522" s="12" t="s">
        <v>532</v>
      </c>
      <c r="H522" s="12" t="s">
        <v>532</v>
      </c>
      <c r="I522" s="12" t="s">
        <v>532</v>
      </c>
      <c r="J522" s="12" t="s">
        <v>529</v>
      </c>
      <c r="K522" s="12" t="s">
        <v>529</v>
      </c>
      <c r="L522" s="12" t="s">
        <v>531</v>
      </c>
    </row>
    <row r="523" customFormat="false" ht="15" hidden="false" customHeight="false" outlineLevel="0" collapsed="false">
      <c r="A523" s="4" t="n">
        <v>519</v>
      </c>
      <c r="B523" s="11" t="s">
        <v>529</v>
      </c>
      <c r="C523" s="11" t="s">
        <v>581</v>
      </c>
      <c r="D523" s="11" t="s">
        <v>535</v>
      </c>
      <c r="E523" s="11" t="s">
        <v>60</v>
      </c>
      <c r="F523" s="11" t="s">
        <v>531</v>
      </c>
      <c r="G523" s="12" t="s">
        <v>532</v>
      </c>
      <c r="H523" s="12" t="s">
        <v>532</v>
      </c>
      <c r="I523" s="12" t="s">
        <v>532</v>
      </c>
      <c r="J523" s="12" t="s">
        <v>529</v>
      </c>
      <c r="K523" s="12" t="s">
        <v>529</v>
      </c>
      <c r="L523" s="12" t="s">
        <v>531</v>
      </c>
    </row>
    <row r="524" customFormat="false" ht="15" hidden="false" customHeight="false" outlineLevel="0" collapsed="false">
      <c r="A524" s="4" t="n">
        <v>520</v>
      </c>
      <c r="B524" s="11" t="s">
        <v>529</v>
      </c>
      <c r="C524" s="11" t="s">
        <v>582</v>
      </c>
      <c r="D524" s="11" t="s">
        <v>535</v>
      </c>
      <c r="E524" s="11" t="s">
        <v>60</v>
      </c>
      <c r="F524" s="11" t="s">
        <v>531</v>
      </c>
      <c r="G524" s="12" t="s">
        <v>532</v>
      </c>
      <c r="H524" s="12" t="s">
        <v>532</v>
      </c>
      <c r="I524" s="12" t="s">
        <v>532</v>
      </c>
      <c r="J524" s="12" t="s">
        <v>529</v>
      </c>
      <c r="K524" s="12" t="s">
        <v>529</v>
      </c>
      <c r="L524" s="12" t="s">
        <v>531</v>
      </c>
    </row>
    <row r="525" customFormat="false" ht="15" hidden="false" customHeight="false" outlineLevel="0" collapsed="false">
      <c r="A525" s="4" t="n">
        <v>521</v>
      </c>
      <c r="B525" s="11" t="s">
        <v>529</v>
      </c>
      <c r="C525" s="11" t="s">
        <v>583</v>
      </c>
      <c r="D525" s="11" t="s">
        <v>79</v>
      </c>
      <c r="E525" s="11" t="s">
        <v>60</v>
      </c>
      <c r="F525" s="11" t="s">
        <v>531</v>
      </c>
      <c r="G525" s="12" t="s">
        <v>532</v>
      </c>
      <c r="H525" s="12" t="s">
        <v>532</v>
      </c>
      <c r="I525" s="12" t="s">
        <v>532</v>
      </c>
      <c r="J525" s="12" t="s">
        <v>529</v>
      </c>
      <c r="K525" s="12" t="s">
        <v>529</v>
      </c>
      <c r="L525" s="12" t="s">
        <v>531</v>
      </c>
    </row>
    <row r="526" customFormat="false" ht="15" hidden="false" customHeight="false" outlineLevel="0" collapsed="false">
      <c r="A526" s="4" t="n">
        <v>522</v>
      </c>
      <c r="B526" s="11" t="s">
        <v>529</v>
      </c>
      <c r="C526" s="11" t="s">
        <v>584</v>
      </c>
      <c r="D526" s="11" t="s">
        <v>158</v>
      </c>
      <c r="E526" s="11" t="s">
        <v>16</v>
      </c>
      <c r="F526" s="11" t="s">
        <v>531</v>
      </c>
      <c r="G526" s="12" t="s">
        <v>532</v>
      </c>
      <c r="H526" s="12" t="s">
        <v>532</v>
      </c>
      <c r="I526" s="12" t="s">
        <v>532</v>
      </c>
      <c r="J526" s="12" t="s">
        <v>529</v>
      </c>
      <c r="K526" s="12" t="s">
        <v>529</v>
      </c>
      <c r="L526" s="12" t="s">
        <v>531</v>
      </c>
    </row>
    <row r="527" customFormat="false" ht="15" hidden="false" customHeight="false" outlineLevel="0" collapsed="false">
      <c r="A527" s="4" t="n">
        <v>523</v>
      </c>
      <c r="B527" s="11" t="s">
        <v>529</v>
      </c>
      <c r="C527" s="11" t="s">
        <v>585</v>
      </c>
      <c r="D527" s="11" t="s">
        <v>59</v>
      </c>
      <c r="E527" s="11" t="s">
        <v>60</v>
      </c>
      <c r="F527" s="11" t="s">
        <v>531</v>
      </c>
      <c r="G527" s="12" t="s">
        <v>532</v>
      </c>
      <c r="H527" s="12" t="s">
        <v>532</v>
      </c>
      <c r="I527" s="12" t="s">
        <v>532</v>
      </c>
      <c r="J527" s="12" t="s">
        <v>529</v>
      </c>
      <c r="K527" s="12" t="s">
        <v>529</v>
      </c>
      <c r="L527" s="12" t="s">
        <v>531</v>
      </c>
    </row>
    <row r="528" customFormat="false" ht="15" hidden="false" customHeight="false" outlineLevel="0" collapsed="false">
      <c r="A528" s="4" t="n">
        <v>524</v>
      </c>
      <c r="B528" s="11" t="s">
        <v>529</v>
      </c>
      <c r="C528" s="11" t="s">
        <v>586</v>
      </c>
      <c r="D528" s="11" t="s">
        <v>535</v>
      </c>
      <c r="E528" s="11" t="s">
        <v>60</v>
      </c>
      <c r="F528" s="11" t="s">
        <v>531</v>
      </c>
      <c r="G528" s="12" t="s">
        <v>532</v>
      </c>
      <c r="H528" s="12" t="s">
        <v>532</v>
      </c>
      <c r="I528" s="12" t="s">
        <v>532</v>
      </c>
      <c r="J528" s="12" t="s">
        <v>529</v>
      </c>
      <c r="K528" s="12" t="s">
        <v>529</v>
      </c>
      <c r="L528" s="12" t="s">
        <v>531</v>
      </c>
    </row>
    <row r="529" customFormat="false" ht="15" hidden="false" customHeight="false" outlineLevel="0" collapsed="false">
      <c r="A529" s="4" t="n">
        <v>525</v>
      </c>
      <c r="B529" s="11" t="s">
        <v>529</v>
      </c>
      <c r="C529" s="11" t="s">
        <v>587</v>
      </c>
      <c r="D529" s="11" t="s">
        <v>106</v>
      </c>
      <c r="E529" s="11" t="s">
        <v>87</v>
      </c>
      <c r="F529" s="11" t="s">
        <v>531</v>
      </c>
      <c r="G529" s="12" t="s">
        <v>532</v>
      </c>
      <c r="H529" s="12" t="s">
        <v>532</v>
      </c>
      <c r="I529" s="12" t="s">
        <v>532</v>
      </c>
      <c r="J529" s="12" t="s">
        <v>529</v>
      </c>
      <c r="K529" s="12" t="s">
        <v>529</v>
      </c>
      <c r="L529" s="12" t="s">
        <v>531</v>
      </c>
    </row>
    <row r="530" customFormat="false" ht="15" hidden="false" customHeight="false" outlineLevel="0" collapsed="false">
      <c r="A530" s="4" t="n">
        <v>526</v>
      </c>
      <c r="B530" s="11" t="s">
        <v>529</v>
      </c>
      <c r="C530" s="11" t="s">
        <v>588</v>
      </c>
      <c r="D530" s="11" t="s">
        <v>59</v>
      </c>
      <c r="E530" s="11" t="s">
        <v>60</v>
      </c>
      <c r="F530" s="11" t="s">
        <v>531</v>
      </c>
      <c r="G530" s="12" t="s">
        <v>532</v>
      </c>
      <c r="H530" s="12" t="s">
        <v>532</v>
      </c>
      <c r="I530" s="12" t="s">
        <v>532</v>
      </c>
      <c r="J530" s="12" t="s">
        <v>529</v>
      </c>
      <c r="K530" s="12" t="s">
        <v>529</v>
      </c>
      <c r="L530" s="12" t="s">
        <v>531</v>
      </c>
    </row>
    <row r="531" customFormat="false" ht="15" hidden="false" customHeight="false" outlineLevel="0" collapsed="false">
      <c r="A531" s="4" t="n">
        <v>527</v>
      </c>
      <c r="B531" s="11" t="s">
        <v>529</v>
      </c>
      <c r="C531" s="11" t="s">
        <v>589</v>
      </c>
      <c r="D531" s="11" t="s">
        <v>106</v>
      </c>
      <c r="E531" s="11" t="s">
        <v>87</v>
      </c>
      <c r="F531" s="11" t="s">
        <v>531</v>
      </c>
      <c r="G531" s="12" t="s">
        <v>532</v>
      </c>
      <c r="H531" s="12" t="s">
        <v>532</v>
      </c>
      <c r="I531" s="12" t="s">
        <v>532</v>
      </c>
      <c r="J531" s="12" t="s">
        <v>529</v>
      </c>
      <c r="K531" s="12" t="s">
        <v>529</v>
      </c>
      <c r="L531" s="12" t="s">
        <v>531</v>
      </c>
    </row>
    <row r="532" customFormat="false" ht="15" hidden="false" customHeight="false" outlineLevel="0" collapsed="false">
      <c r="A532" s="4" t="n">
        <v>528</v>
      </c>
      <c r="B532" s="11" t="s">
        <v>529</v>
      </c>
      <c r="C532" s="11" t="s">
        <v>590</v>
      </c>
      <c r="D532" s="11" t="s">
        <v>535</v>
      </c>
      <c r="E532" s="11" t="s">
        <v>60</v>
      </c>
      <c r="F532" s="11" t="s">
        <v>531</v>
      </c>
      <c r="G532" s="12" t="s">
        <v>532</v>
      </c>
      <c r="H532" s="12" t="s">
        <v>532</v>
      </c>
      <c r="I532" s="12" t="s">
        <v>532</v>
      </c>
      <c r="J532" s="12" t="s">
        <v>529</v>
      </c>
      <c r="K532" s="12" t="s">
        <v>529</v>
      </c>
      <c r="L532" s="12" t="s">
        <v>531</v>
      </c>
    </row>
    <row r="533" customFormat="false" ht="15" hidden="false" customHeight="false" outlineLevel="0" collapsed="false">
      <c r="A533" s="4" t="n">
        <v>529</v>
      </c>
      <c r="B533" s="11" t="s">
        <v>529</v>
      </c>
      <c r="C533" s="11" t="s">
        <v>591</v>
      </c>
      <c r="D533" s="11" t="s">
        <v>95</v>
      </c>
      <c r="E533" s="11" t="s">
        <v>20</v>
      </c>
      <c r="F533" s="11" t="s">
        <v>531</v>
      </c>
      <c r="G533" s="12" t="s">
        <v>532</v>
      </c>
      <c r="H533" s="12" t="s">
        <v>532</v>
      </c>
      <c r="I533" s="12" t="s">
        <v>532</v>
      </c>
      <c r="J533" s="12" t="s">
        <v>529</v>
      </c>
      <c r="K533" s="12" t="s">
        <v>529</v>
      </c>
      <c r="L533" s="12" t="s">
        <v>531</v>
      </c>
    </row>
    <row r="534" customFormat="false" ht="15" hidden="false" customHeight="false" outlineLevel="0" collapsed="false">
      <c r="A534" s="4" t="n">
        <v>530</v>
      </c>
      <c r="B534" s="11" t="s">
        <v>529</v>
      </c>
      <c r="C534" s="11" t="s">
        <v>592</v>
      </c>
      <c r="D534" s="11" t="s">
        <v>535</v>
      </c>
      <c r="E534" s="11" t="s">
        <v>60</v>
      </c>
      <c r="F534" s="11" t="s">
        <v>531</v>
      </c>
      <c r="G534" s="12" t="s">
        <v>532</v>
      </c>
      <c r="H534" s="12" t="s">
        <v>532</v>
      </c>
      <c r="I534" s="12" t="s">
        <v>532</v>
      </c>
      <c r="J534" s="12" t="s">
        <v>529</v>
      </c>
      <c r="K534" s="12" t="s">
        <v>529</v>
      </c>
      <c r="L534" s="12" t="s">
        <v>531</v>
      </c>
    </row>
    <row r="535" customFormat="false" ht="15" hidden="false" customHeight="false" outlineLevel="0" collapsed="false">
      <c r="A535" s="4" t="n">
        <v>531</v>
      </c>
      <c r="B535" s="11" t="s">
        <v>529</v>
      </c>
      <c r="C535" s="11" t="s">
        <v>593</v>
      </c>
      <c r="D535" s="11" t="s">
        <v>86</v>
      </c>
      <c r="E535" s="11" t="s">
        <v>87</v>
      </c>
      <c r="F535" s="11" t="s">
        <v>531</v>
      </c>
      <c r="G535" s="12" t="s">
        <v>532</v>
      </c>
      <c r="H535" s="12" t="s">
        <v>532</v>
      </c>
      <c r="I535" s="12" t="s">
        <v>532</v>
      </c>
      <c r="J535" s="12" t="s">
        <v>529</v>
      </c>
      <c r="K535" s="12" t="s">
        <v>529</v>
      </c>
      <c r="L535" s="12" t="s">
        <v>531</v>
      </c>
    </row>
    <row r="536" customFormat="false" ht="15" hidden="false" customHeight="false" outlineLevel="0" collapsed="false">
      <c r="A536" s="4" t="n">
        <v>532</v>
      </c>
      <c r="B536" s="11" t="s">
        <v>529</v>
      </c>
      <c r="C536" s="11" t="s">
        <v>594</v>
      </c>
      <c r="D536" s="11" t="s">
        <v>74</v>
      </c>
      <c r="E536" s="11" t="s">
        <v>60</v>
      </c>
      <c r="F536" s="11" t="s">
        <v>531</v>
      </c>
      <c r="G536" s="12" t="s">
        <v>532</v>
      </c>
      <c r="H536" s="12" t="s">
        <v>532</v>
      </c>
      <c r="I536" s="12" t="s">
        <v>532</v>
      </c>
      <c r="J536" s="12" t="s">
        <v>529</v>
      </c>
      <c r="K536" s="12" t="s">
        <v>529</v>
      </c>
      <c r="L536" s="12" t="s">
        <v>531</v>
      </c>
    </row>
    <row r="537" customFormat="false" ht="15" hidden="false" customHeight="false" outlineLevel="0" collapsed="false">
      <c r="A537" s="4" t="n">
        <v>533</v>
      </c>
      <c r="B537" s="11" t="s">
        <v>529</v>
      </c>
      <c r="C537" s="11" t="s">
        <v>595</v>
      </c>
      <c r="D537" s="11" t="s">
        <v>19</v>
      </c>
      <c r="E537" s="11" t="s">
        <v>20</v>
      </c>
      <c r="F537" s="11" t="s">
        <v>531</v>
      </c>
      <c r="G537" s="12" t="s">
        <v>532</v>
      </c>
      <c r="H537" s="12" t="s">
        <v>532</v>
      </c>
      <c r="I537" s="12" t="s">
        <v>532</v>
      </c>
      <c r="J537" s="12" t="s">
        <v>529</v>
      </c>
      <c r="K537" s="12" t="s">
        <v>529</v>
      </c>
      <c r="L537" s="12" t="s">
        <v>531</v>
      </c>
    </row>
    <row r="538" customFormat="false" ht="15" hidden="false" customHeight="false" outlineLevel="0" collapsed="false">
      <c r="A538" s="4" t="n">
        <v>534</v>
      </c>
      <c r="B538" s="11" t="s">
        <v>529</v>
      </c>
      <c r="C538" s="11" t="s">
        <v>596</v>
      </c>
      <c r="D538" s="11" t="s">
        <v>74</v>
      </c>
      <c r="E538" s="11" t="s">
        <v>60</v>
      </c>
      <c r="F538" s="11" t="s">
        <v>531</v>
      </c>
      <c r="G538" s="12" t="s">
        <v>532</v>
      </c>
      <c r="H538" s="12" t="s">
        <v>532</v>
      </c>
      <c r="I538" s="12" t="s">
        <v>532</v>
      </c>
      <c r="J538" s="12" t="s">
        <v>529</v>
      </c>
      <c r="K538" s="12" t="s">
        <v>529</v>
      </c>
      <c r="L538" s="12" t="s">
        <v>531</v>
      </c>
    </row>
    <row r="539" customFormat="false" ht="15" hidden="false" customHeight="false" outlineLevel="0" collapsed="false">
      <c r="A539" s="4" t="n">
        <v>535</v>
      </c>
      <c r="B539" s="11" t="s">
        <v>529</v>
      </c>
      <c r="C539" s="11" t="s">
        <v>597</v>
      </c>
      <c r="D539" s="11" t="s">
        <v>40</v>
      </c>
      <c r="E539" s="11" t="s">
        <v>20</v>
      </c>
      <c r="F539" s="11" t="s">
        <v>531</v>
      </c>
      <c r="G539" s="12" t="s">
        <v>532</v>
      </c>
      <c r="H539" s="12" t="s">
        <v>532</v>
      </c>
      <c r="I539" s="12" t="s">
        <v>532</v>
      </c>
      <c r="J539" s="12" t="s">
        <v>529</v>
      </c>
      <c r="K539" s="12" t="s">
        <v>529</v>
      </c>
      <c r="L539" s="12" t="s">
        <v>531</v>
      </c>
    </row>
    <row r="540" customFormat="false" ht="15" hidden="false" customHeight="false" outlineLevel="0" collapsed="false">
      <c r="A540" s="4" t="n">
        <v>536</v>
      </c>
      <c r="B540" s="11" t="s">
        <v>529</v>
      </c>
      <c r="C540" s="11" t="s">
        <v>598</v>
      </c>
      <c r="D540" s="11" t="s">
        <v>74</v>
      </c>
      <c r="E540" s="11" t="s">
        <v>60</v>
      </c>
      <c r="F540" s="11" t="s">
        <v>531</v>
      </c>
      <c r="G540" s="12" t="s">
        <v>532</v>
      </c>
      <c r="H540" s="12" t="s">
        <v>532</v>
      </c>
      <c r="I540" s="12" t="s">
        <v>532</v>
      </c>
      <c r="J540" s="12" t="s">
        <v>529</v>
      </c>
      <c r="K540" s="12" t="s">
        <v>529</v>
      </c>
      <c r="L540" s="12" t="s">
        <v>531</v>
      </c>
    </row>
    <row r="541" customFormat="false" ht="15" hidden="false" customHeight="false" outlineLevel="0" collapsed="false">
      <c r="A541" s="4" t="n">
        <v>537</v>
      </c>
      <c r="B541" s="11" t="s">
        <v>529</v>
      </c>
      <c r="C541" s="11" t="s">
        <v>599</v>
      </c>
      <c r="D541" s="11" t="s">
        <v>15</v>
      </c>
      <c r="E541" s="11" t="s">
        <v>16</v>
      </c>
      <c r="F541" s="11" t="s">
        <v>531</v>
      </c>
      <c r="G541" s="12" t="s">
        <v>532</v>
      </c>
      <c r="H541" s="12" t="s">
        <v>532</v>
      </c>
      <c r="I541" s="12" t="s">
        <v>532</v>
      </c>
      <c r="J541" s="12" t="s">
        <v>529</v>
      </c>
      <c r="K541" s="12" t="s">
        <v>529</v>
      </c>
      <c r="L541" s="12" t="s">
        <v>531</v>
      </c>
    </row>
    <row r="542" customFormat="false" ht="15" hidden="false" customHeight="false" outlineLevel="0" collapsed="false">
      <c r="A542" s="4" t="n">
        <v>538</v>
      </c>
      <c r="B542" s="11" t="s">
        <v>529</v>
      </c>
      <c r="C542" s="11" t="s">
        <v>600</v>
      </c>
      <c r="D542" s="11" t="s">
        <v>86</v>
      </c>
      <c r="E542" s="11" t="s">
        <v>87</v>
      </c>
      <c r="F542" s="11" t="s">
        <v>531</v>
      </c>
      <c r="G542" s="12" t="s">
        <v>532</v>
      </c>
      <c r="H542" s="12" t="s">
        <v>532</v>
      </c>
      <c r="I542" s="12" t="s">
        <v>532</v>
      </c>
      <c r="J542" s="12" t="s">
        <v>529</v>
      </c>
      <c r="K542" s="12" t="s">
        <v>529</v>
      </c>
      <c r="L542" s="12" t="s">
        <v>531</v>
      </c>
    </row>
    <row r="543" customFormat="false" ht="15" hidden="false" customHeight="false" outlineLevel="0" collapsed="false">
      <c r="A543" s="4" t="n">
        <v>539</v>
      </c>
      <c r="B543" s="11" t="s">
        <v>529</v>
      </c>
      <c r="C543" s="11" t="s">
        <v>601</v>
      </c>
      <c r="D543" s="11" t="s">
        <v>535</v>
      </c>
      <c r="E543" s="11" t="s">
        <v>60</v>
      </c>
      <c r="F543" s="11" t="s">
        <v>531</v>
      </c>
      <c r="G543" s="12" t="s">
        <v>532</v>
      </c>
      <c r="H543" s="12" t="s">
        <v>532</v>
      </c>
      <c r="I543" s="12" t="s">
        <v>532</v>
      </c>
      <c r="J543" s="12" t="s">
        <v>529</v>
      </c>
      <c r="K543" s="12" t="s">
        <v>529</v>
      </c>
      <c r="L543" s="12" t="s">
        <v>531</v>
      </c>
    </row>
    <row r="544" customFormat="false" ht="15" hidden="false" customHeight="false" outlineLevel="0" collapsed="false">
      <c r="A544" s="4" t="n">
        <v>540</v>
      </c>
      <c r="B544" s="11" t="s">
        <v>529</v>
      </c>
      <c r="C544" s="11" t="s">
        <v>602</v>
      </c>
      <c r="D544" s="11" t="s">
        <v>260</v>
      </c>
      <c r="E544" s="11" t="s">
        <v>24</v>
      </c>
      <c r="F544" s="11" t="s">
        <v>531</v>
      </c>
      <c r="G544" s="12" t="s">
        <v>532</v>
      </c>
      <c r="H544" s="12" t="s">
        <v>532</v>
      </c>
      <c r="I544" s="12" t="s">
        <v>532</v>
      </c>
      <c r="J544" s="12" t="s">
        <v>529</v>
      </c>
      <c r="K544" s="12" t="s">
        <v>529</v>
      </c>
      <c r="L544" s="12" t="s">
        <v>531</v>
      </c>
    </row>
    <row r="545" customFormat="false" ht="15" hidden="false" customHeight="false" outlineLevel="0" collapsed="false">
      <c r="A545" s="4" t="n">
        <v>541</v>
      </c>
      <c r="B545" s="11" t="s">
        <v>529</v>
      </c>
      <c r="C545" s="11" t="s">
        <v>603</v>
      </c>
      <c r="D545" s="11" t="s">
        <v>44</v>
      </c>
      <c r="E545" s="11" t="s">
        <v>30</v>
      </c>
      <c r="F545" s="11" t="s">
        <v>531</v>
      </c>
      <c r="G545" s="12" t="s">
        <v>532</v>
      </c>
      <c r="H545" s="12" t="s">
        <v>532</v>
      </c>
      <c r="I545" s="12" t="s">
        <v>532</v>
      </c>
      <c r="J545" s="12" t="s">
        <v>529</v>
      </c>
      <c r="K545" s="12" t="s">
        <v>529</v>
      </c>
      <c r="L545" s="12" t="s">
        <v>531</v>
      </c>
    </row>
    <row r="546" customFormat="false" ht="15" hidden="false" customHeight="false" outlineLevel="0" collapsed="false">
      <c r="A546" s="4" t="n">
        <v>542</v>
      </c>
      <c r="B546" s="11" t="s">
        <v>529</v>
      </c>
      <c r="C546" s="11" t="s">
        <v>604</v>
      </c>
      <c r="D546" s="11" t="s">
        <v>79</v>
      </c>
      <c r="E546" s="11" t="s">
        <v>60</v>
      </c>
      <c r="F546" s="11" t="s">
        <v>531</v>
      </c>
      <c r="G546" s="12" t="s">
        <v>532</v>
      </c>
      <c r="H546" s="12" t="s">
        <v>532</v>
      </c>
      <c r="I546" s="12" t="s">
        <v>532</v>
      </c>
      <c r="J546" s="12" t="s">
        <v>529</v>
      </c>
      <c r="K546" s="12" t="s">
        <v>529</v>
      </c>
      <c r="L546" s="12" t="s">
        <v>531</v>
      </c>
    </row>
    <row r="547" customFormat="false" ht="15" hidden="false" customHeight="false" outlineLevel="0" collapsed="false">
      <c r="A547" s="4" t="n">
        <v>543</v>
      </c>
      <c r="B547" s="11" t="s">
        <v>529</v>
      </c>
      <c r="C547" s="11" t="s">
        <v>605</v>
      </c>
      <c r="D547" s="11" t="s">
        <v>79</v>
      </c>
      <c r="E547" s="11" t="s">
        <v>60</v>
      </c>
      <c r="F547" s="11" t="s">
        <v>531</v>
      </c>
      <c r="G547" s="12" t="s">
        <v>532</v>
      </c>
      <c r="H547" s="12" t="s">
        <v>532</v>
      </c>
      <c r="I547" s="12" t="s">
        <v>532</v>
      </c>
      <c r="J547" s="12" t="s">
        <v>529</v>
      </c>
      <c r="K547" s="12" t="s">
        <v>529</v>
      </c>
      <c r="L547" s="12" t="s">
        <v>531</v>
      </c>
    </row>
    <row r="548" customFormat="false" ht="15" hidden="false" customHeight="false" outlineLevel="0" collapsed="false">
      <c r="A548" s="4" t="n">
        <v>544</v>
      </c>
      <c r="B548" s="11" t="s">
        <v>529</v>
      </c>
      <c r="C548" s="11" t="s">
        <v>606</v>
      </c>
      <c r="D548" s="11" t="s">
        <v>19</v>
      </c>
      <c r="E548" s="11" t="s">
        <v>20</v>
      </c>
      <c r="F548" s="11" t="s">
        <v>531</v>
      </c>
      <c r="G548" s="12" t="s">
        <v>532</v>
      </c>
      <c r="H548" s="12" t="s">
        <v>532</v>
      </c>
      <c r="I548" s="12" t="s">
        <v>532</v>
      </c>
      <c r="J548" s="12" t="s">
        <v>529</v>
      </c>
      <c r="K548" s="12" t="s">
        <v>529</v>
      </c>
      <c r="L548" s="12" t="s">
        <v>531</v>
      </c>
    </row>
    <row r="549" customFormat="false" ht="15" hidden="false" customHeight="false" outlineLevel="0" collapsed="false">
      <c r="A549" s="4" t="n">
        <v>545</v>
      </c>
      <c r="B549" s="11" t="s">
        <v>529</v>
      </c>
      <c r="C549" s="11" t="s">
        <v>607</v>
      </c>
      <c r="D549" s="11" t="s">
        <v>158</v>
      </c>
      <c r="E549" s="11" t="s">
        <v>16</v>
      </c>
      <c r="F549" s="11" t="s">
        <v>531</v>
      </c>
      <c r="G549" s="12" t="s">
        <v>532</v>
      </c>
      <c r="H549" s="12" t="s">
        <v>532</v>
      </c>
      <c r="I549" s="12" t="s">
        <v>532</v>
      </c>
      <c r="J549" s="12" t="s">
        <v>529</v>
      </c>
      <c r="K549" s="12" t="s">
        <v>529</v>
      </c>
      <c r="L549" s="12" t="s">
        <v>531</v>
      </c>
    </row>
    <row r="550" customFormat="false" ht="15" hidden="false" customHeight="false" outlineLevel="0" collapsed="false">
      <c r="A550" s="4" t="n">
        <v>546</v>
      </c>
      <c r="B550" s="11" t="s">
        <v>529</v>
      </c>
      <c r="C550" s="11" t="s">
        <v>608</v>
      </c>
      <c r="D550" s="11" t="s">
        <v>279</v>
      </c>
      <c r="E550" s="11" t="s">
        <v>20</v>
      </c>
      <c r="F550" s="11" t="s">
        <v>531</v>
      </c>
      <c r="G550" s="12" t="s">
        <v>532</v>
      </c>
      <c r="H550" s="12" t="s">
        <v>532</v>
      </c>
      <c r="I550" s="12" t="s">
        <v>532</v>
      </c>
      <c r="J550" s="12" t="s">
        <v>529</v>
      </c>
      <c r="K550" s="12" t="s">
        <v>529</v>
      </c>
      <c r="L550" s="12" t="s">
        <v>531</v>
      </c>
    </row>
    <row r="551" customFormat="false" ht="15" hidden="false" customHeight="false" outlineLevel="0" collapsed="false">
      <c r="A551" s="4" t="n">
        <v>547</v>
      </c>
      <c r="B551" s="11" t="s">
        <v>529</v>
      </c>
      <c r="C551" s="11" t="s">
        <v>609</v>
      </c>
      <c r="D551" s="11" t="s">
        <v>79</v>
      </c>
      <c r="E551" s="11" t="s">
        <v>60</v>
      </c>
      <c r="F551" s="11" t="s">
        <v>531</v>
      </c>
      <c r="G551" s="12" t="s">
        <v>532</v>
      </c>
      <c r="H551" s="12" t="s">
        <v>532</v>
      </c>
      <c r="I551" s="12" t="s">
        <v>532</v>
      </c>
      <c r="J551" s="12" t="s">
        <v>529</v>
      </c>
      <c r="K551" s="12" t="s">
        <v>529</v>
      </c>
      <c r="L551" s="12" t="s">
        <v>531</v>
      </c>
    </row>
    <row r="552" customFormat="false" ht="15" hidden="false" customHeight="false" outlineLevel="0" collapsed="false">
      <c r="A552" s="4" t="n">
        <v>548</v>
      </c>
      <c r="B552" s="11" t="s">
        <v>529</v>
      </c>
      <c r="C552" s="11" t="s">
        <v>610</v>
      </c>
      <c r="D552" s="11" t="s">
        <v>279</v>
      </c>
      <c r="E552" s="11" t="s">
        <v>20</v>
      </c>
      <c r="F552" s="11" t="s">
        <v>531</v>
      </c>
      <c r="G552" s="12" t="s">
        <v>532</v>
      </c>
      <c r="H552" s="12" t="s">
        <v>532</v>
      </c>
      <c r="I552" s="12" t="s">
        <v>532</v>
      </c>
      <c r="J552" s="12" t="s">
        <v>529</v>
      </c>
      <c r="K552" s="12" t="s">
        <v>529</v>
      </c>
      <c r="L552" s="12" t="s">
        <v>531</v>
      </c>
    </row>
    <row r="553" customFormat="false" ht="15" hidden="false" customHeight="false" outlineLevel="0" collapsed="false">
      <c r="A553" s="4" t="n">
        <v>549</v>
      </c>
      <c r="B553" s="11" t="s">
        <v>529</v>
      </c>
      <c r="C553" s="11" t="s">
        <v>611</v>
      </c>
      <c r="D553" s="11" t="s">
        <v>199</v>
      </c>
      <c r="E553" s="11" t="s">
        <v>16</v>
      </c>
      <c r="F553" s="11" t="s">
        <v>531</v>
      </c>
      <c r="G553" s="12" t="s">
        <v>532</v>
      </c>
      <c r="H553" s="12" t="s">
        <v>532</v>
      </c>
      <c r="I553" s="12" t="s">
        <v>532</v>
      </c>
      <c r="J553" s="12" t="s">
        <v>529</v>
      </c>
      <c r="K553" s="12" t="s">
        <v>529</v>
      </c>
      <c r="L553" s="12" t="s">
        <v>531</v>
      </c>
    </row>
    <row r="554" customFormat="false" ht="15" hidden="false" customHeight="false" outlineLevel="0" collapsed="false">
      <c r="A554" s="4" t="n">
        <v>550</v>
      </c>
      <c r="B554" s="11" t="s">
        <v>529</v>
      </c>
      <c r="C554" s="11" t="s">
        <v>612</v>
      </c>
      <c r="D554" s="11" t="s">
        <v>401</v>
      </c>
      <c r="E554" s="11" t="s">
        <v>16</v>
      </c>
      <c r="F554" s="11" t="s">
        <v>531</v>
      </c>
      <c r="G554" s="12" t="s">
        <v>532</v>
      </c>
      <c r="H554" s="12" t="s">
        <v>532</v>
      </c>
      <c r="I554" s="12" t="s">
        <v>532</v>
      </c>
      <c r="J554" s="12" t="s">
        <v>529</v>
      </c>
      <c r="K554" s="12" t="s">
        <v>529</v>
      </c>
      <c r="L554" s="12" t="s">
        <v>531</v>
      </c>
    </row>
    <row r="555" customFormat="false" ht="15" hidden="false" customHeight="false" outlineLevel="0" collapsed="false">
      <c r="A555" s="4" t="n">
        <v>551</v>
      </c>
      <c r="B555" s="11" t="s">
        <v>529</v>
      </c>
      <c r="C555" s="11" t="s">
        <v>613</v>
      </c>
      <c r="D555" s="11" t="s">
        <v>98</v>
      </c>
      <c r="E555" s="11" t="s">
        <v>16</v>
      </c>
      <c r="F555" s="11" t="s">
        <v>531</v>
      </c>
      <c r="G555" s="12" t="s">
        <v>532</v>
      </c>
      <c r="H555" s="12" t="s">
        <v>532</v>
      </c>
      <c r="I555" s="12" t="s">
        <v>532</v>
      </c>
      <c r="J555" s="12" t="s">
        <v>529</v>
      </c>
      <c r="K555" s="12" t="s">
        <v>529</v>
      </c>
      <c r="L555" s="12" t="s">
        <v>531</v>
      </c>
    </row>
    <row r="556" customFormat="false" ht="15" hidden="false" customHeight="false" outlineLevel="0" collapsed="false">
      <c r="A556" s="4" t="n">
        <v>552</v>
      </c>
      <c r="B556" s="11" t="s">
        <v>529</v>
      </c>
      <c r="C556" s="11" t="s">
        <v>614</v>
      </c>
      <c r="D556" s="11" t="s">
        <v>614</v>
      </c>
      <c r="E556" s="11" t="s">
        <v>487</v>
      </c>
      <c r="F556" s="11" t="s">
        <v>531</v>
      </c>
      <c r="G556" s="12" t="s">
        <v>532</v>
      </c>
      <c r="H556" s="12" t="s">
        <v>532</v>
      </c>
      <c r="I556" s="12" t="s">
        <v>532</v>
      </c>
      <c r="J556" s="12" t="s">
        <v>529</v>
      </c>
      <c r="K556" s="12" t="s">
        <v>529</v>
      </c>
      <c r="L556" s="12" t="s">
        <v>531</v>
      </c>
    </row>
    <row r="557" customFormat="false" ht="15" hidden="false" customHeight="false" outlineLevel="0" collapsed="false">
      <c r="A557" s="4" t="n">
        <v>553</v>
      </c>
      <c r="B557" s="11" t="s">
        <v>529</v>
      </c>
      <c r="C557" s="11" t="s">
        <v>615</v>
      </c>
      <c r="D557" s="11" t="s">
        <v>401</v>
      </c>
      <c r="E557" s="11" t="s">
        <v>16</v>
      </c>
      <c r="F557" s="11" t="s">
        <v>531</v>
      </c>
      <c r="G557" s="12" t="s">
        <v>532</v>
      </c>
      <c r="H557" s="12" t="s">
        <v>532</v>
      </c>
      <c r="I557" s="12" t="s">
        <v>532</v>
      </c>
      <c r="J557" s="12" t="s">
        <v>529</v>
      </c>
      <c r="K557" s="12" t="s">
        <v>529</v>
      </c>
      <c r="L557" s="12" t="s">
        <v>531</v>
      </c>
    </row>
    <row r="558" customFormat="false" ht="15" hidden="false" customHeight="false" outlineLevel="0" collapsed="false">
      <c r="A558" s="4" t="n">
        <v>554</v>
      </c>
      <c r="B558" s="11" t="s">
        <v>529</v>
      </c>
      <c r="C558" s="11" t="s">
        <v>616</v>
      </c>
      <c r="D558" s="11" t="s">
        <v>199</v>
      </c>
      <c r="E558" s="11" t="s">
        <v>16</v>
      </c>
      <c r="F558" s="11" t="s">
        <v>531</v>
      </c>
      <c r="G558" s="12" t="s">
        <v>532</v>
      </c>
      <c r="H558" s="12" t="s">
        <v>532</v>
      </c>
      <c r="I558" s="12" t="s">
        <v>532</v>
      </c>
      <c r="J558" s="12" t="s">
        <v>529</v>
      </c>
      <c r="K558" s="12" t="s">
        <v>529</v>
      </c>
      <c r="L558" s="12" t="s">
        <v>531</v>
      </c>
    </row>
    <row r="559" customFormat="false" ht="15" hidden="false" customHeight="false" outlineLevel="0" collapsed="false">
      <c r="A559" s="4" t="n">
        <v>555</v>
      </c>
      <c r="B559" s="11" t="s">
        <v>529</v>
      </c>
      <c r="C559" s="11" t="s">
        <v>617</v>
      </c>
      <c r="D559" s="11" t="s">
        <v>98</v>
      </c>
      <c r="E559" s="11" t="s">
        <v>16</v>
      </c>
      <c r="F559" s="11" t="s">
        <v>531</v>
      </c>
      <c r="G559" s="12" t="s">
        <v>532</v>
      </c>
      <c r="H559" s="12" t="s">
        <v>532</v>
      </c>
      <c r="I559" s="12" t="s">
        <v>532</v>
      </c>
      <c r="J559" s="12" t="s">
        <v>529</v>
      </c>
      <c r="K559" s="12" t="s">
        <v>529</v>
      </c>
      <c r="L559" s="12" t="s">
        <v>531</v>
      </c>
    </row>
    <row r="560" customFormat="false" ht="15" hidden="false" customHeight="false" outlineLevel="0" collapsed="false">
      <c r="A560" s="4" t="n">
        <v>556</v>
      </c>
      <c r="B560" s="11" t="s">
        <v>529</v>
      </c>
      <c r="C560" s="11" t="s">
        <v>618</v>
      </c>
      <c r="D560" s="11" t="s">
        <v>98</v>
      </c>
      <c r="E560" s="11" t="s">
        <v>16</v>
      </c>
      <c r="F560" s="11" t="s">
        <v>531</v>
      </c>
      <c r="G560" s="12" t="s">
        <v>532</v>
      </c>
      <c r="H560" s="12" t="s">
        <v>532</v>
      </c>
      <c r="I560" s="12" t="s">
        <v>532</v>
      </c>
      <c r="J560" s="12" t="s">
        <v>529</v>
      </c>
      <c r="K560" s="12" t="s">
        <v>529</v>
      </c>
      <c r="L560" s="12" t="s">
        <v>531</v>
      </c>
    </row>
    <row r="561" customFormat="false" ht="15" hidden="false" customHeight="false" outlineLevel="0" collapsed="false">
      <c r="A561" s="4" t="n">
        <v>557</v>
      </c>
      <c r="B561" s="11" t="s">
        <v>529</v>
      </c>
      <c r="C561" s="11" t="s">
        <v>619</v>
      </c>
      <c r="D561" s="11" t="s">
        <v>535</v>
      </c>
      <c r="E561" s="11" t="s">
        <v>60</v>
      </c>
      <c r="F561" s="11" t="s">
        <v>531</v>
      </c>
      <c r="G561" s="12" t="s">
        <v>532</v>
      </c>
      <c r="H561" s="12" t="s">
        <v>532</v>
      </c>
      <c r="I561" s="12" t="s">
        <v>532</v>
      </c>
      <c r="J561" s="12" t="s">
        <v>529</v>
      </c>
      <c r="K561" s="12" t="s">
        <v>529</v>
      </c>
      <c r="L561" s="12" t="s">
        <v>531</v>
      </c>
    </row>
    <row r="562" customFormat="false" ht="15" hidden="false" customHeight="false" outlineLevel="0" collapsed="false">
      <c r="A562" s="4" t="n">
        <v>558</v>
      </c>
      <c r="B562" s="11" t="s">
        <v>529</v>
      </c>
      <c r="C562" s="11" t="s">
        <v>620</v>
      </c>
      <c r="D562" s="11" t="s">
        <v>401</v>
      </c>
      <c r="E562" s="11" t="s">
        <v>16</v>
      </c>
      <c r="F562" s="11" t="s">
        <v>531</v>
      </c>
      <c r="G562" s="12" t="s">
        <v>532</v>
      </c>
      <c r="H562" s="12" t="s">
        <v>532</v>
      </c>
      <c r="I562" s="12" t="s">
        <v>532</v>
      </c>
      <c r="J562" s="12" t="s">
        <v>529</v>
      </c>
      <c r="K562" s="12" t="s">
        <v>529</v>
      </c>
      <c r="L562" s="12" t="s">
        <v>531</v>
      </c>
    </row>
    <row r="563" customFormat="false" ht="15" hidden="false" customHeight="false" outlineLevel="0" collapsed="false">
      <c r="A563" s="4" t="n">
        <v>559</v>
      </c>
      <c r="B563" s="11" t="s">
        <v>529</v>
      </c>
      <c r="C563" s="11" t="s">
        <v>621</v>
      </c>
      <c r="D563" s="11" t="s">
        <v>260</v>
      </c>
      <c r="E563" s="11" t="s">
        <v>24</v>
      </c>
      <c r="F563" s="11" t="s">
        <v>531</v>
      </c>
      <c r="G563" s="12" t="s">
        <v>532</v>
      </c>
      <c r="H563" s="12" t="s">
        <v>532</v>
      </c>
      <c r="I563" s="12" t="s">
        <v>532</v>
      </c>
      <c r="J563" s="12" t="s">
        <v>529</v>
      </c>
      <c r="K563" s="12" t="s">
        <v>529</v>
      </c>
      <c r="L563" s="12" t="s">
        <v>531</v>
      </c>
    </row>
    <row r="564" customFormat="false" ht="15" hidden="false" customHeight="false" outlineLevel="0" collapsed="false">
      <c r="A564" s="4" t="n">
        <v>560</v>
      </c>
      <c r="B564" s="11" t="s">
        <v>529</v>
      </c>
      <c r="C564" s="11" t="s">
        <v>622</v>
      </c>
      <c r="D564" s="11" t="s">
        <v>401</v>
      </c>
      <c r="E564" s="11" t="s">
        <v>16</v>
      </c>
      <c r="F564" s="11" t="s">
        <v>531</v>
      </c>
      <c r="G564" s="12" t="s">
        <v>532</v>
      </c>
      <c r="H564" s="12" t="s">
        <v>532</v>
      </c>
      <c r="I564" s="12" t="s">
        <v>532</v>
      </c>
      <c r="J564" s="12" t="s">
        <v>529</v>
      </c>
      <c r="K564" s="12" t="s">
        <v>529</v>
      </c>
      <c r="L564" s="12" t="s">
        <v>531</v>
      </c>
    </row>
    <row r="565" customFormat="false" ht="15" hidden="false" customHeight="false" outlineLevel="0" collapsed="false">
      <c r="A565" s="4" t="n">
        <v>561</v>
      </c>
      <c r="B565" s="11" t="s">
        <v>529</v>
      </c>
      <c r="C565" s="11" t="s">
        <v>623</v>
      </c>
      <c r="D565" s="11" t="s">
        <v>106</v>
      </c>
      <c r="E565" s="11" t="s">
        <v>87</v>
      </c>
      <c r="F565" s="11" t="s">
        <v>531</v>
      </c>
      <c r="G565" s="12" t="s">
        <v>532</v>
      </c>
      <c r="H565" s="12" t="s">
        <v>532</v>
      </c>
      <c r="I565" s="12" t="s">
        <v>532</v>
      </c>
      <c r="J565" s="12" t="s">
        <v>529</v>
      </c>
      <c r="K565" s="12" t="s">
        <v>529</v>
      </c>
      <c r="L565" s="12" t="s">
        <v>531</v>
      </c>
    </row>
    <row r="566" customFormat="false" ht="15" hidden="false" customHeight="false" outlineLevel="0" collapsed="false">
      <c r="A566" s="4" t="n">
        <v>562</v>
      </c>
      <c r="B566" s="11" t="s">
        <v>529</v>
      </c>
      <c r="C566" s="11" t="s">
        <v>624</v>
      </c>
      <c r="D566" s="11" t="s">
        <v>535</v>
      </c>
      <c r="E566" s="11" t="s">
        <v>60</v>
      </c>
      <c r="F566" s="11" t="s">
        <v>531</v>
      </c>
      <c r="G566" s="12" t="s">
        <v>532</v>
      </c>
      <c r="H566" s="12" t="s">
        <v>532</v>
      </c>
      <c r="I566" s="12" t="s">
        <v>532</v>
      </c>
      <c r="J566" s="12" t="s">
        <v>529</v>
      </c>
      <c r="K566" s="12" t="s">
        <v>529</v>
      </c>
      <c r="L566" s="12" t="s">
        <v>531</v>
      </c>
    </row>
    <row r="567" customFormat="false" ht="15" hidden="false" customHeight="false" outlineLevel="0" collapsed="false">
      <c r="A567" s="4" t="n">
        <v>563</v>
      </c>
      <c r="B567" s="11" t="s">
        <v>529</v>
      </c>
      <c r="C567" s="11" t="s">
        <v>625</v>
      </c>
      <c r="D567" s="11" t="s">
        <v>19</v>
      </c>
      <c r="E567" s="11" t="s">
        <v>20</v>
      </c>
      <c r="F567" s="11" t="s">
        <v>531</v>
      </c>
      <c r="G567" s="12" t="s">
        <v>532</v>
      </c>
      <c r="H567" s="12" t="s">
        <v>532</v>
      </c>
      <c r="I567" s="12" t="s">
        <v>532</v>
      </c>
      <c r="J567" s="12" t="s">
        <v>529</v>
      </c>
      <c r="K567" s="12" t="s">
        <v>529</v>
      </c>
      <c r="L567" s="12" t="s">
        <v>531</v>
      </c>
    </row>
    <row r="568" customFormat="false" ht="15" hidden="false" customHeight="false" outlineLevel="0" collapsed="false">
      <c r="A568" s="4" t="n">
        <v>564</v>
      </c>
      <c r="B568" s="11" t="s">
        <v>529</v>
      </c>
      <c r="C568" s="11" t="s">
        <v>626</v>
      </c>
      <c r="D568" s="11" t="s">
        <v>74</v>
      </c>
      <c r="E568" s="11" t="s">
        <v>60</v>
      </c>
      <c r="F568" s="11" t="s">
        <v>531</v>
      </c>
      <c r="G568" s="12" t="s">
        <v>532</v>
      </c>
      <c r="H568" s="12" t="s">
        <v>532</v>
      </c>
      <c r="I568" s="12" t="s">
        <v>532</v>
      </c>
      <c r="J568" s="12" t="s">
        <v>529</v>
      </c>
      <c r="K568" s="12" t="s">
        <v>529</v>
      </c>
      <c r="L568" s="12" t="s">
        <v>531</v>
      </c>
    </row>
    <row r="569" customFormat="false" ht="15" hidden="false" customHeight="false" outlineLevel="0" collapsed="false">
      <c r="A569" s="4" t="n">
        <v>565</v>
      </c>
      <c r="B569" s="11" t="s">
        <v>529</v>
      </c>
      <c r="C569" s="11" t="s">
        <v>627</v>
      </c>
      <c r="D569" s="11" t="s">
        <v>535</v>
      </c>
      <c r="E569" s="11" t="s">
        <v>60</v>
      </c>
      <c r="F569" s="11" t="s">
        <v>531</v>
      </c>
      <c r="G569" s="12" t="s">
        <v>532</v>
      </c>
      <c r="H569" s="12" t="s">
        <v>532</v>
      </c>
      <c r="I569" s="12" t="s">
        <v>532</v>
      </c>
      <c r="J569" s="12" t="s">
        <v>529</v>
      </c>
      <c r="K569" s="12" t="s">
        <v>529</v>
      </c>
      <c r="L569" s="12" t="s">
        <v>531</v>
      </c>
    </row>
    <row r="570" customFormat="false" ht="15" hidden="false" customHeight="false" outlineLevel="0" collapsed="false">
      <c r="A570" s="4" t="n">
        <v>566</v>
      </c>
      <c r="B570" s="11" t="s">
        <v>529</v>
      </c>
      <c r="C570" s="11" t="s">
        <v>628</v>
      </c>
      <c r="D570" s="11" t="s">
        <v>199</v>
      </c>
      <c r="E570" s="11" t="s">
        <v>16</v>
      </c>
      <c r="F570" s="11" t="s">
        <v>531</v>
      </c>
      <c r="G570" s="12" t="s">
        <v>532</v>
      </c>
      <c r="H570" s="12" t="s">
        <v>532</v>
      </c>
      <c r="I570" s="12" t="s">
        <v>532</v>
      </c>
      <c r="J570" s="12" t="s">
        <v>529</v>
      </c>
      <c r="K570" s="12" t="s">
        <v>529</v>
      </c>
      <c r="L570" s="12" t="s">
        <v>531</v>
      </c>
    </row>
    <row r="571" customFormat="false" ht="15" hidden="false" customHeight="false" outlineLevel="0" collapsed="false">
      <c r="A571" s="4" t="n">
        <v>567</v>
      </c>
      <c r="B571" s="11" t="s">
        <v>529</v>
      </c>
      <c r="C571" s="11" t="s">
        <v>629</v>
      </c>
      <c r="D571" s="11" t="s">
        <v>199</v>
      </c>
      <c r="E571" s="11" t="s">
        <v>16</v>
      </c>
      <c r="F571" s="11" t="s">
        <v>531</v>
      </c>
      <c r="G571" s="12" t="s">
        <v>532</v>
      </c>
      <c r="H571" s="12" t="s">
        <v>532</v>
      </c>
      <c r="I571" s="12" t="s">
        <v>532</v>
      </c>
      <c r="J571" s="12" t="s">
        <v>529</v>
      </c>
      <c r="K571" s="12" t="s">
        <v>529</v>
      </c>
      <c r="L571" s="12" t="s">
        <v>531</v>
      </c>
    </row>
    <row r="572" customFormat="false" ht="15" hidden="false" customHeight="false" outlineLevel="0" collapsed="false">
      <c r="A572" s="4" t="n">
        <v>568</v>
      </c>
      <c r="B572" s="11" t="s">
        <v>529</v>
      </c>
      <c r="C572" s="11" t="s">
        <v>630</v>
      </c>
      <c r="D572" s="11" t="s">
        <v>59</v>
      </c>
      <c r="E572" s="11" t="s">
        <v>60</v>
      </c>
      <c r="F572" s="11" t="s">
        <v>531</v>
      </c>
      <c r="G572" s="12" t="s">
        <v>532</v>
      </c>
      <c r="H572" s="12" t="s">
        <v>532</v>
      </c>
      <c r="I572" s="12" t="s">
        <v>532</v>
      </c>
      <c r="J572" s="12" t="s">
        <v>529</v>
      </c>
      <c r="K572" s="12" t="s">
        <v>529</v>
      </c>
      <c r="L572" s="12" t="s">
        <v>531</v>
      </c>
    </row>
    <row r="573" customFormat="false" ht="15" hidden="false" customHeight="false" outlineLevel="0" collapsed="false">
      <c r="A573" s="4" t="n">
        <v>569</v>
      </c>
      <c r="B573" s="11" t="s">
        <v>529</v>
      </c>
      <c r="C573" s="11" t="s">
        <v>631</v>
      </c>
      <c r="D573" s="11" t="s">
        <v>535</v>
      </c>
      <c r="E573" s="11" t="s">
        <v>60</v>
      </c>
      <c r="F573" s="11" t="s">
        <v>531</v>
      </c>
      <c r="G573" s="12" t="s">
        <v>532</v>
      </c>
      <c r="H573" s="12" t="s">
        <v>532</v>
      </c>
      <c r="I573" s="12" t="s">
        <v>532</v>
      </c>
      <c r="J573" s="12" t="s">
        <v>529</v>
      </c>
      <c r="K573" s="12" t="s">
        <v>529</v>
      </c>
      <c r="L573" s="12" t="s">
        <v>531</v>
      </c>
    </row>
    <row r="574" customFormat="false" ht="15" hidden="false" customHeight="false" outlineLevel="0" collapsed="false">
      <c r="A574" s="4" t="n">
        <v>570</v>
      </c>
      <c r="B574" s="11" t="s">
        <v>529</v>
      </c>
      <c r="C574" s="11" t="s">
        <v>632</v>
      </c>
      <c r="D574" s="11" t="s">
        <v>29</v>
      </c>
      <c r="E574" s="11" t="s">
        <v>30</v>
      </c>
      <c r="F574" s="11" t="s">
        <v>531</v>
      </c>
      <c r="G574" s="12" t="s">
        <v>532</v>
      </c>
      <c r="H574" s="12" t="s">
        <v>532</v>
      </c>
      <c r="I574" s="12" t="s">
        <v>532</v>
      </c>
      <c r="J574" s="12" t="s">
        <v>529</v>
      </c>
      <c r="K574" s="12" t="s">
        <v>529</v>
      </c>
      <c r="L574" s="12" t="s">
        <v>531</v>
      </c>
    </row>
    <row r="575" customFormat="false" ht="15" hidden="false" customHeight="false" outlineLevel="0" collapsed="false">
      <c r="A575" s="4" t="n">
        <v>571</v>
      </c>
      <c r="B575" s="11" t="s">
        <v>529</v>
      </c>
      <c r="C575" s="11" t="s">
        <v>633</v>
      </c>
      <c r="D575" s="11" t="s">
        <v>95</v>
      </c>
      <c r="E575" s="11" t="s">
        <v>20</v>
      </c>
      <c r="F575" s="11" t="s">
        <v>531</v>
      </c>
      <c r="G575" s="12" t="s">
        <v>532</v>
      </c>
      <c r="H575" s="12" t="s">
        <v>532</v>
      </c>
      <c r="I575" s="12" t="s">
        <v>532</v>
      </c>
      <c r="J575" s="12" t="s">
        <v>529</v>
      </c>
      <c r="K575" s="12" t="s">
        <v>529</v>
      </c>
      <c r="L575" s="12" t="s">
        <v>531</v>
      </c>
    </row>
    <row r="576" customFormat="false" ht="15" hidden="false" customHeight="false" outlineLevel="0" collapsed="false">
      <c r="A576" s="4" t="n">
        <v>572</v>
      </c>
      <c r="B576" s="11" t="s">
        <v>529</v>
      </c>
      <c r="C576" s="11" t="s">
        <v>634</v>
      </c>
      <c r="D576" s="11" t="s">
        <v>19</v>
      </c>
      <c r="E576" s="11" t="s">
        <v>20</v>
      </c>
      <c r="F576" s="11" t="s">
        <v>531</v>
      </c>
      <c r="G576" s="12" t="s">
        <v>532</v>
      </c>
      <c r="H576" s="12" t="s">
        <v>532</v>
      </c>
      <c r="I576" s="12" t="s">
        <v>532</v>
      </c>
      <c r="J576" s="12" t="s">
        <v>529</v>
      </c>
      <c r="K576" s="12" t="s">
        <v>529</v>
      </c>
      <c r="L576" s="12" t="s">
        <v>531</v>
      </c>
    </row>
    <row r="577" customFormat="false" ht="15" hidden="false" customHeight="false" outlineLevel="0" collapsed="false">
      <c r="A577" s="4" t="n">
        <v>573</v>
      </c>
      <c r="B577" s="11" t="s">
        <v>529</v>
      </c>
      <c r="C577" s="11" t="s">
        <v>635</v>
      </c>
      <c r="D577" s="11" t="s">
        <v>108</v>
      </c>
      <c r="E577" s="11" t="s">
        <v>30</v>
      </c>
      <c r="F577" s="11" t="s">
        <v>531</v>
      </c>
      <c r="G577" s="12" t="s">
        <v>532</v>
      </c>
      <c r="H577" s="12" t="s">
        <v>532</v>
      </c>
      <c r="I577" s="12" t="s">
        <v>532</v>
      </c>
      <c r="J577" s="12" t="s">
        <v>529</v>
      </c>
      <c r="K577" s="12" t="s">
        <v>529</v>
      </c>
      <c r="L577" s="12" t="s">
        <v>531</v>
      </c>
    </row>
    <row r="578" customFormat="false" ht="15" hidden="false" customHeight="false" outlineLevel="0" collapsed="false">
      <c r="A578" s="4" t="n">
        <v>574</v>
      </c>
      <c r="B578" s="11" t="s">
        <v>529</v>
      </c>
      <c r="C578" s="11" t="s">
        <v>636</v>
      </c>
      <c r="D578" s="11" t="s">
        <v>106</v>
      </c>
      <c r="E578" s="11" t="s">
        <v>87</v>
      </c>
      <c r="F578" s="11" t="s">
        <v>531</v>
      </c>
      <c r="G578" s="12" t="s">
        <v>532</v>
      </c>
      <c r="H578" s="12" t="s">
        <v>532</v>
      </c>
      <c r="I578" s="12" t="s">
        <v>532</v>
      </c>
      <c r="J578" s="12" t="s">
        <v>529</v>
      </c>
      <c r="K578" s="12" t="s">
        <v>529</v>
      </c>
      <c r="L578" s="12" t="s">
        <v>531</v>
      </c>
    </row>
    <row r="579" customFormat="false" ht="15" hidden="false" customHeight="false" outlineLevel="0" collapsed="false">
      <c r="A579" s="4" t="n">
        <v>575</v>
      </c>
      <c r="B579" s="11" t="s">
        <v>529</v>
      </c>
      <c r="C579" s="11" t="s">
        <v>637</v>
      </c>
      <c r="D579" s="11" t="s">
        <v>106</v>
      </c>
      <c r="E579" s="11" t="s">
        <v>87</v>
      </c>
      <c r="F579" s="11" t="s">
        <v>531</v>
      </c>
      <c r="G579" s="12" t="s">
        <v>532</v>
      </c>
      <c r="H579" s="12" t="s">
        <v>532</v>
      </c>
      <c r="I579" s="12" t="s">
        <v>532</v>
      </c>
      <c r="J579" s="12" t="s">
        <v>529</v>
      </c>
      <c r="K579" s="12" t="s">
        <v>529</v>
      </c>
      <c r="L579" s="12" t="s">
        <v>531</v>
      </c>
    </row>
    <row r="580" customFormat="false" ht="15" hidden="false" customHeight="false" outlineLevel="0" collapsed="false">
      <c r="A580" s="4" t="n">
        <v>576</v>
      </c>
      <c r="B580" s="11" t="s">
        <v>529</v>
      </c>
      <c r="C580" s="11" t="s">
        <v>638</v>
      </c>
      <c r="D580" s="11" t="s">
        <v>486</v>
      </c>
      <c r="E580" s="11" t="s">
        <v>487</v>
      </c>
      <c r="F580" s="11" t="s">
        <v>531</v>
      </c>
      <c r="G580" s="12" t="s">
        <v>532</v>
      </c>
      <c r="H580" s="12" t="s">
        <v>532</v>
      </c>
      <c r="I580" s="12" t="s">
        <v>532</v>
      </c>
      <c r="J580" s="12" t="s">
        <v>529</v>
      </c>
      <c r="K580" s="12" t="s">
        <v>529</v>
      </c>
      <c r="L580" s="12" t="s">
        <v>531</v>
      </c>
    </row>
    <row r="581" customFormat="false" ht="15" hidden="false" customHeight="false" outlineLevel="0" collapsed="false">
      <c r="A581" s="4" t="n">
        <v>577</v>
      </c>
      <c r="B581" s="11" t="s">
        <v>529</v>
      </c>
      <c r="C581" s="11" t="s">
        <v>639</v>
      </c>
      <c r="D581" s="11" t="s">
        <v>256</v>
      </c>
      <c r="E581" s="11" t="s">
        <v>60</v>
      </c>
      <c r="F581" s="11" t="s">
        <v>531</v>
      </c>
      <c r="G581" s="12" t="s">
        <v>532</v>
      </c>
      <c r="H581" s="12" t="s">
        <v>532</v>
      </c>
      <c r="I581" s="12" t="s">
        <v>532</v>
      </c>
      <c r="J581" s="12" t="s">
        <v>529</v>
      </c>
      <c r="K581" s="12" t="s">
        <v>529</v>
      </c>
      <c r="L581" s="12" t="s">
        <v>531</v>
      </c>
    </row>
    <row r="582" customFormat="false" ht="15" hidden="false" customHeight="false" outlineLevel="0" collapsed="false">
      <c r="A582" s="4" t="n">
        <v>578</v>
      </c>
      <c r="B582" s="11" t="s">
        <v>529</v>
      </c>
      <c r="C582" s="11" t="s">
        <v>640</v>
      </c>
      <c r="D582" s="11" t="s">
        <v>256</v>
      </c>
      <c r="E582" s="11" t="s">
        <v>60</v>
      </c>
      <c r="F582" s="11" t="s">
        <v>531</v>
      </c>
      <c r="G582" s="12" t="s">
        <v>532</v>
      </c>
      <c r="H582" s="12" t="s">
        <v>532</v>
      </c>
      <c r="I582" s="12" t="s">
        <v>532</v>
      </c>
      <c r="J582" s="12" t="s">
        <v>529</v>
      </c>
      <c r="K582" s="12" t="s">
        <v>529</v>
      </c>
      <c r="L582" s="12" t="s">
        <v>531</v>
      </c>
    </row>
    <row r="583" customFormat="false" ht="15" hidden="false" customHeight="false" outlineLevel="0" collapsed="false">
      <c r="A583" s="4" t="n">
        <v>579</v>
      </c>
      <c r="B583" s="11" t="s">
        <v>529</v>
      </c>
      <c r="C583" s="11" t="s">
        <v>641</v>
      </c>
      <c r="D583" s="11" t="s">
        <v>517</v>
      </c>
      <c r="E583" s="11" t="s">
        <v>16</v>
      </c>
      <c r="F583" s="11" t="s">
        <v>531</v>
      </c>
      <c r="G583" s="12" t="s">
        <v>532</v>
      </c>
      <c r="H583" s="12" t="s">
        <v>532</v>
      </c>
      <c r="I583" s="12" t="s">
        <v>532</v>
      </c>
      <c r="J583" s="12" t="s">
        <v>529</v>
      </c>
      <c r="K583" s="12" t="s">
        <v>529</v>
      </c>
      <c r="L583" s="12" t="s">
        <v>531</v>
      </c>
    </row>
    <row r="584" customFormat="false" ht="15" hidden="false" customHeight="false" outlineLevel="0" collapsed="false">
      <c r="A584" s="4" t="n">
        <v>580</v>
      </c>
      <c r="B584" s="11" t="s">
        <v>529</v>
      </c>
      <c r="C584" s="11" t="s">
        <v>642</v>
      </c>
      <c r="D584" s="11" t="s">
        <v>256</v>
      </c>
      <c r="E584" s="11" t="s">
        <v>60</v>
      </c>
      <c r="F584" s="11" t="s">
        <v>531</v>
      </c>
      <c r="G584" s="12" t="s">
        <v>532</v>
      </c>
      <c r="H584" s="12" t="s">
        <v>532</v>
      </c>
      <c r="I584" s="12" t="s">
        <v>532</v>
      </c>
      <c r="J584" s="12" t="s">
        <v>529</v>
      </c>
      <c r="K584" s="12" t="s">
        <v>529</v>
      </c>
      <c r="L584" s="12" t="s">
        <v>531</v>
      </c>
    </row>
    <row r="585" customFormat="false" ht="15" hidden="false" customHeight="false" outlineLevel="0" collapsed="false">
      <c r="A585" s="4" t="n">
        <v>581</v>
      </c>
      <c r="B585" s="11" t="s">
        <v>529</v>
      </c>
      <c r="C585" s="11" t="s">
        <v>643</v>
      </c>
      <c r="D585" s="11" t="s">
        <v>279</v>
      </c>
      <c r="E585" s="11" t="s">
        <v>20</v>
      </c>
      <c r="F585" s="11" t="s">
        <v>531</v>
      </c>
      <c r="G585" s="12" t="s">
        <v>532</v>
      </c>
      <c r="H585" s="12" t="s">
        <v>532</v>
      </c>
      <c r="I585" s="12" t="s">
        <v>532</v>
      </c>
      <c r="J585" s="12" t="s">
        <v>529</v>
      </c>
      <c r="K585" s="12" t="s">
        <v>529</v>
      </c>
      <c r="L585" s="12" t="s">
        <v>531</v>
      </c>
    </row>
    <row r="586" customFormat="false" ht="15" hidden="false" customHeight="false" outlineLevel="0" collapsed="false">
      <c r="A586" s="4" t="n">
        <v>582</v>
      </c>
      <c r="B586" s="11" t="s">
        <v>529</v>
      </c>
      <c r="C586" s="11" t="s">
        <v>644</v>
      </c>
      <c r="D586" s="11" t="s">
        <v>74</v>
      </c>
      <c r="E586" s="11" t="s">
        <v>60</v>
      </c>
      <c r="F586" s="11" t="s">
        <v>531</v>
      </c>
      <c r="G586" s="12" t="s">
        <v>532</v>
      </c>
      <c r="H586" s="12" t="s">
        <v>532</v>
      </c>
      <c r="I586" s="12" t="s">
        <v>532</v>
      </c>
      <c r="J586" s="12" t="s">
        <v>529</v>
      </c>
      <c r="K586" s="12" t="s">
        <v>529</v>
      </c>
      <c r="L586" s="12" t="s">
        <v>531</v>
      </c>
    </row>
    <row r="587" customFormat="false" ht="15" hidden="false" customHeight="false" outlineLevel="0" collapsed="false">
      <c r="A587" s="4" t="n">
        <v>583</v>
      </c>
      <c r="B587" s="11" t="s">
        <v>529</v>
      </c>
      <c r="C587" s="11" t="s">
        <v>645</v>
      </c>
      <c r="D587" s="11" t="s">
        <v>108</v>
      </c>
      <c r="E587" s="11" t="s">
        <v>30</v>
      </c>
      <c r="F587" s="11" t="s">
        <v>531</v>
      </c>
      <c r="G587" s="12" t="s">
        <v>532</v>
      </c>
      <c r="H587" s="12" t="s">
        <v>532</v>
      </c>
      <c r="I587" s="12" t="s">
        <v>532</v>
      </c>
      <c r="J587" s="12" t="s">
        <v>529</v>
      </c>
      <c r="K587" s="12" t="s">
        <v>529</v>
      </c>
      <c r="L587" s="12" t="s">
        <v>531</v>
      </c>
    </row>
    <row r="588" customFormat="false" ht="15" hidden="false" customHeight="false" outlineLevel="0" collapsed="false">
      <c r="A588" s="4" t="n">
        <v>584</v>
      </c>
      <c r="B588" s="11" t="s">
        <v>529</v>
      </c>
      <c r="C588" s="11" t="s">
        <v>646</v>
      </c>
      <c r="D588" s="11" t="s">
        <v>74</v>
      </c>
      <c r="E588" s="11" t="s">
        <v>60</v>
      </c>
      <c r="F588" s="11" t="s">
        <v>531</v>
      </c>
      <c r="G588" s="12" t="s">
        <v>532</v>
      </c>
      <c r="H588" s="12" t="s">
        <v>532</v>
      </c>
      <c r="I588" s="12" t="s">
        <v>532</v>
      </c>
      <c r="J588" s="12" t="s">
        <v>529</v>
      </c>
      <c r="K588" s="12" t="s">
        <v>529</v>
      </c>
      <c r="L588" s="12" t="s">
        <v>531</v>
      </c>
    </row>
    <row r="589" customFormat="false" ht="15" hidden="false" customHeight="false" outlineLevel="0" collapsed="false">
      <c r="A589" s="4" t="n">
        <v>585</v>
      </c>
      <c r="B589" s="11" t="s">
        <v>529</v>
      </c>
      <c r="C589" s="11" t="s">
        <v>647</v>
      </c>
      <c r="D589" s="11" t="s">
        <v>74</v>
      </c>
      <c r="E589" s="11" t="s">
        <v>60</v>
      </c>
      <c r="F589" s="11" t="s">
        <v>531</v>
      </c>
      <c r="G589" s="12" t="s">
        <v>532</v>
      </c>
      <c r="H589" s="12" t="s">
        <v>532</v>
      </c>
      <c r="I589" s="12" t="s">
        <v>532</v>
      </c>
      <c r="J589" s="12" t="s">
        <v>529</v>
      </c>
      <c r="K589" s="12" t="s">
        <v>529</v>
      </c>
      <c r="L589" s="12" t="s">
        <v>531</v>
      </c>
    </row>
    <row r="590" customFormat="false" ht="15" hidden="false" customHeight="false" outlineLevel="0" collapsed="false">
      <c r="A590" s="4" t="n">
        <v>586</v>
      </c>
      <c r="B590" s="11" t="s">
        <v>529</v>
      </c>
      <c r="C590" s="11" t="s">
        <v>648</v>
      </c>
      <c r="D590" s="11" t="s">
        <v>98</v>
      </c>
      <c r="E590" s="11" t="s">
        <v>16</v>
      </c>
      <c r="F590" s="11" t="s">
        <v>531</v>
      </c>
      <c r="G590" s="12" t="s">
        <v>532</v>
      </c>
      <c r="H590" s="12" t="s">
        <v>532</v>
      </c>
      <c r="I590" s="12" t="s">
        <v>532</v>
      </c>
      <c r="J590" s="12" t="s">
        <v>529</v>
      </c>
      <c r="K590" s="12" t="s">
        <v>529</v>
      </c>
      <c r="L590" s="12" t="s">
        <v>531</v>
      </c>
    </row>
    <row r="591" customFormat="false" ht="15" hidden="false" customHeight="false" outlineLevel="0" collapsed="false">
      <c r="A591" s="4" t="n">
        <v>587</v>
      </c>
      <c r="B591" s="11" t="s">
        <v>529</v>
      </c>
      <c r="C591" s="11" t="s">
        <v>649</v>
      </c>
      <c r="D591" s="11" t="s">
        <v>535</v>
      </c>
      <c r="E591" s="11" t="s">
        <v>60</v>
      </c>
      <c r="F591" s="11" t="s">
        <v>531</v>
      </c>
      <c r="G591" s="12" t="s">
        <v>532</v>
      </c>
      <c r="H591" s="12" t="s">
        <v>532</v>
      </c>
      <c r="I591" s="12" t="s">
        <v>532</v>
      </c>
      <c r="J591" s="12" t="s">
        <v>529</v>
      </c>
      <c r="K591" s="12" t="s">
        <v>529</v>
      </c>
      <c r="L591" s="12" t="s">
        <v>531</v>
      </c>
    </row>
    <row r="592" customFormat="false" ht="15" hidden="false" customHeight="false" outlineLevel="0" collapsed="false">
      <c r="A592" s="4" t="n">
        <v>588</v>
      </c>
      <c r="B592" s="11" t="s">
        <v>529</v>
      </c>
      <c r="C592" s="11" t="s">
        <v>650</v>
      </c>
      <c r="D592" s="11" t="s">
        <v>535</v>
      </c>
      <c r="E592" s="11" t="s">
        <v>60</v>
      </c>
      <c r="F592" s="11" t="s">
        <v>531</v>
      </c>
      <c r="G592" s="12" t="s">
        <v>532</v>
      </c>
      <c r="H592" s="12" t="s">
        <v>532</v>
      </c>
      <c r="I592" s="12" t="s">
        <v>532</v>
      </c>
      <c r="J592" s="12" t="s">
        <v>529</v>
      </c>
      <c r="K592" s="12" t="s">
        <v>529</v>
      </c>
      <c r="L592" s="12" t="s">
        <v>531</v>
      </c>
    </row>
    <row r="593" customFormat="false" ht="15" hidden="false" customHeight="false" outlineLevel="0" collapsed="false">
      <c r="A593" s="4" t="n">
        <v>589</v>
      </c>
      <c r="B593" s="11" t="s">
        <v>529</v>
      </c>
      <c r="C593" s="11" t="s">
        <v>651</v>
      </c>
      <c r="D593" s="11" t="s">
        <v>201</v>
      </c>
      <c r="E593" s="11" t="s">
        <v>60</v>
      </c>
      <c r="F593" s="11" t="s">
        <v>531</v>
      </c>
      <c r="G593" s="12" t="s">
        <v>532</v>
      </c>
      <c r="H593" s="12" t="s">
        <v>532</v>
      </c>
      <c r="I593" s="12" t="s">
        <v>532</v>
      </c>
      <c r="J593" s="12" t="s">
        <v>529</v>
      </c>
      <c r="K593" s="12" t="s">
        <v>529</v>
      </c>
      <c r="L593" s="12" t="s">
        <v>531</v>
      </c>
    </row>
    <row r="594" customFormat="false" ht="15" hidden="false" customHeight="false" outlineLevel="0" collapsed="false">
      <c r="A594" s="4" t="n">
        <v>590</v>
      </c>
      <c r="B594" s="11" t="s">
        <v>529</v>
      </c>
      <c r="C594" s="11" t="s">
        <v>652</v>
      </c>
      <c r="D594" s="11" t="s">
        <v>199</v>
      </c>
      <c r="E594" s="11" t="s">
        <v>16</v>
      </c>
      <c r="F594" s="11" t="s">
        <v>531</v>
      </c>
      <c r="G594" s="12" t="s">
        <v>532</v>
      </c>
      <c r="H594" s="12" t="s">
        <v>532</v>
      </c>
      <c r="I594" s="12" t="s">
        <v>532</v>
      </c>
      <c r="J594" s="12" t="s">
        <v>529</v>
      </c>
      <c r="K594" s="12" t="s">
        <v>529</v>
      </c>
      <c r="L594" s="12" t="s">
        <v>531</v>
      </c>
    </row>
    <row r="595" customFormat="false" ht="15" hidden="false" customHeight="false" outlineLevel="0" collapsed="false">
      <c r="A595" s="4" t="n">
        <v>591</v>
      </c>
      <c r="B595" s="11" t="s">
        <v>529</v>
      </c>
      <c r="C595" s="11" t="s">
        <v>653</v>
      </c>
      <c r="D595" s="11" t="s">
        <v>199</v>
      </c>
      <c r="E595" s="11" t="s">
        <v>16</v>
      </c>
      <c r="F595" s="11" t="s">
        <v>531</v>
      </c>
      <c r="G595" s="12" t="s">
        <v>532</v>
      </c>
      <c r="H595" s="12" t="s">
        <v>532</v>
      </c>
      <c r="I595" s="12" t="s">
        <v>532</v>
      </c>
      <c r="J595" s="12" t="s">
        <v>529</v>
      </c>
      <c r="K595" s="12" t="s">
        <v>529</v>
      </c>
      <c r="L595" s="12" t="s">
        <v>531</v>
      </c>
    </row>
    <row r="596" customFormat="false" ht="15" hidden="false" customHeight="false" outlineLevel="0" collapsed="false">
      <c r="A596" s="4" t="n">
        <v>592</v>
      </c>
      <c r="B596" s="11" t="s">
        <v>529</v>
      </c>
      <c r="C596" s="11" t="s">
        <v>654</v>
      </c>
      <c r="D596" s="11" t="s">
        <v>79</v>
      </c>
      <c r="E596" s="11" t="s">
        <v>60</v>
      </c>
      <c r="F596" s="11" t="s">
        <v>531</v>
      </c>
      <c r="G596" s="12" t="s">
        <v>532</v>
      </c>
      <c r="H596" s="12" t="s">
        <v>532</v>
      </c>
      <c r="I596" s="12" t="s">
        <v>532</v>
      </c>
      <c r="J596" s="12" t="s">
        <v>529</v>
      </c>
      <c r="K596" s="12" t="s">
        <v>529</v>
      </c>
      <c r="L596" s="12" t="s">
        <v>531</v>
      </c>
    </row>
    <row r="597" customFormat="false" ht="15" hidden="false" customHeight="false" outlineLevel="0" collapsed="false">
      <c r="A597" s="4" t="n">
        <v>593</v>
      </c>
      <c r="B597" s="11" t="s">
        <v>529</v>
      </c>
      <c r="C597" s="11" t="s">
        <v>655</v>
      </c>
      <c r="D597" s="11" t="s">
        <v>79</v>
      </c>
      <c r="E597" s="11" t="s">
        <v>60</v>
      </c>
      <c r="F597" s="11" t="s">
        <v>531</v>
      </c>
      <c r="G597" s="12" t="s">
        <v>532</v>
      </c>
      <c r="H597" s="12" t="s">
        <v>532</v>
      </c>
      <c r="I597" s="12" t="s">
        <v>532</v>
      </c>
      <c r="J597" s="12" t="s">
        <v>529</v>
      </c>
      <c r="K597" s="12" t="s">
        <v>529</v>
      </c>
      <c r="L597" s="12" t="s">
        <v>531</v>
      </c>
    </row>
    <row r="598" customFormat="false" ht="15" hidden="false" customHeight="false" outlineLevel="0" collapsed="false">
      <c r="A598" s="4" t="n">
        <v>594</v>
      </c>
      <c r="B598" s="11" t="s">
        <v>529</v>
      </c>
      <c r="C598" s="11" t="s">
        <v>656</v>
      </c>
      <c r="D598" s="11" t="s">
        <v>95</v>
      </c>
      <c r="E598" s="11" t="s">
        <v>20</v>
      </c>
      <c r="F598" s="11" t="s">
        <v>531</v>
      </c>
      <c r="G598" s="12" t="s">
        <v>532</v>
      </c>
      <c r="H598" s="12" t="s">
        <v>532</v>
      </c>
      <c r="I598" s="12" t="s">
        <v>532</v>
      </c>
      <c r="J598" s="12" t="s">
        <v>529</v>
      </c>
      <c r="K598" s="12" t="s">
        <v>529</v>
      </c>
      <c r="L598" s="12" t="s">
        <v>531</v>
      </c>
    </row>
    <row r="599" customFormat="false" ht="15" hidden="false" customHeight="false" outlineLevel="0" collapsed="false">
      <c r="A599" s="4" t="n">
        <v>595</v>
      </c>
      <c r="B599" s="11" t="s">
        <v>529</v>
      </c>
      <c r="C599" s="11" t="s">
        <v>657</v>
      </c>
      <c r="D599" s="11" t="s">
        <v>29</v>
      </c>
      <c r="E599" s="11" t="s">
        <v>30</v>
      </c>
      <c r="F599" s="11" t="s">
        <v>531</v>
      </c>
      <c r="G599" s="12" t="s">
        <v>532</v>
      </c>
      <c r="H599" s="12" t="s">
        <v>532</v>
      </c>
      <c r="I599" s="12" t="s">
        <v>532</v>
      </c>
      <c r="J599" s="12" t="s">
        <v>529</v>
      </c>
      <c r="K599" s="12" t="s">
        <v>529</v>
      </c>
      <c r="L599" s="12" t="s">
        <v>531</v>
      </c>
    </row>
    <row r="600" customFormat="false" ht="15" hidden="false" customHeight="false" outlineLevel="0" collapsed="false">
      <c r="A600" s="4" t="n">
        <v>596</v>
      </c>
      <c r="B600" s="11" t="s">
        <v>529</v>
      </c>
      <c r="C600" s="11" t="s">
        <v>658</v>
      </c>
      <c r="D600" s="11" t="s">
        <v>106</v>
      </c>
      <c r="E600" s="11" t="s">
        <v>87</v>
      </c>
      <c r="F600" s="11" t="s">
        <v>531</v>
      </c>
      <c r="G600" s="12" t="s">
        <v>532</v>
      </c>
      <c r="H600" s="12" t="s">
        <v>532</v>
      </c>
      <c r="I600" s="12" t="s">
        <v>532</v>
      </c>
      <c r="J600" s="12" t="s">
        <v>529</v>
      </c>
      <c r="K600" s="12" t="s">
        <v>529</v>
      </c>
      <c r="L600" s="12" t="s">
        <v>531</v>
      </c>
    </row>
    <row r="601" customFormat="false" ht="15" hidden="false" customHeight="false" outlineLevel="0" collapsed="false">
      <c r="A601" s="4" t="n">
        <v>597</v>
      </c>
      <c r="B601" s="11" t="s">
        <v>529</v>
      </c>
      <c r="C601" s="11" t="s">
        <v>659</v>
      </c>
      <c r="D601" s="11" t="s">
        <v>79</v>
      </c>
      <c r="E601" s="11" t="s">
        <v>60</v>
      </c>
      <c r="F601" s="11" t="s">
        <v>531</v>
      </c>
      <c r="G601" s="12" t="s">
        <v>532</v>
      </c>
      <c r="H601" s="12" t="s">
        <v>532</v>
      </c>
      <c r="I601" s="12" t="s">
        <v>532</v>
      </c>
      <c r="J601" s="12" t="s">
        <v>529</v>
      </c>
      <c r="K601" s="12" t="s">
        <v>529</v>
      </c>
      <c r="L601" s="12" t="s">
        <v>531</v>
      </c>
    </row>
    <row r="602" customFormat="false" ht="15" hidden="false" customHeight="false" outlineLevel="0" collapsed="false">
      <c r="A602" s="4" t="n">
        <v>598</v>
      </c>
      <c r="B602" s="11" t="s">
        <v>529</v>
      </c>
      <c r="C602" s="11" t="s">
        <v>660</v>
      </c>
      <c r="D602" s="11" t="s">
        <v>79</v>
      </c>
      <c r="E602" s="11" t="s">
        <v>60</v>
      </c>
      <c r="F602" s="11" t="s">
        <v>531</v>
      </c>
      <c r="G602" s="12" t="s">
        <v>532</v>
      </c>
      <c r="H602" s="12" t="s">
        <v>532</v>
      </c>
      <c r="I602" s="12" t="s">
        <v>532</v>
      </c>
      <c r="J602" s="12" t="s">
        <v>529</v>
      </c>
      <c r="K602" s="12" t="s">
        <v>529</v>
      </c>
      <c r="L602" s="12" t="s">
        <v>531</v>
      </c>
    </row>
    <row r="603" customFormat="false" ht="15" hidden="false" customHeight="false" outlineLevel="0" collapsed="false">
      <c r="A603" s="4" t="n">
        <v>599</v>
      </c>
      <c r="B603" s="11" t="s">
        <v>529</v>
      </c>
      <c r="C603" s="11" t="s">
        <v>661</v>
      </c>
      <c r="D603" s="11" t="s">
        <v>74</v>
      </c>
      <c r="E603" s="11" t="s">
        <v>60</v>
      </c>
      <c r="F603" s="11" t="s">
        <v>531</v>
      </c>
      <c r="G603" s="12" t="s">
        <v>532</v>
      </c>
      <c r="H603" s="12" t="s">
        <v>532</v>
      </c>
      <c r="I603" s="12" t="s">
        <v>532</v>
      </c>
      <c r="J603" s="12" t="s">
        <v>529</v>
      </c>
      <c r="K603" s="12" t="s">
        <v>529</v>
      </c>
      <c r="L603" s="12" t="s">
        <v>531</v>
      </c>
    </row>
    <row r="604" customFormat="false" ht="15" hidden="false" customHeight="false" outlineLevel="0" collapsed="false">
      <c r="A604" s="4" t="n">
        <v>600</v>
      </c>
      <c r="B604" s="11" t="s">
        <v>529</v>
      </c>
      <c r="C604" s="11" t="s">
        <v>662</v>
      </c>
      <c r="D604" s="11" t="s">
        <v>517</v>
      </c>
      <c r="E604" s="11" t="s">
        <v>16</v>
      </c>
      <c r="F604" s="11" t="s">
        <v>531</v>
      </c>
      <c r="G604" s="12" t="s">
        <v>532</v>
      </c>
      <c r="H604" s="12" t="s">
        <v>532</v>
      </c>
      <c r="I604" s="12" t="s">
        <v>532</v>
      </c>
      <c r="J604" s="12" t="s">
        <v>529</v>
      </c>
      <c r="K604" s="12" t="s">
        <v>529</v>
      </c>
      <c r="L604" s="12" t="s">
        <v>531</v>
      </c>
    </row>
    <row r="605" customFormat="false" ht="15" hidden="false" customHeight="false" outlineLevel="0" collapsed="false">
      <c r="A605" s="4" t="n">
        <v>601</v>
      </c>
      <c r="B605" s="11" t="s">
        <v>529</v>
      </c>
      <c r="C605" s="11" t="s">
        <v>663</v>
      </c>
      <c r="D605" s="11" t="s">
        <v>201</v>
      </c>
      <c r="E605" s="11" t="s">
        <v>60</v>
      </c>
      <c r="F605" s="11" t="s">
        <v>531</v>
      </c>
      <c r="G605" s="12" t="s">
        <v>532</v>
      </c>
      <c r="H605" s="12" t="s">
        <v>532</v>
      </c>
      <c r="I605" s="12" t="s">
        <v>532</v>
      </c>
      <c r="J605" s="12" t="s">
        <v>529</v>
      </c>
      <c r="K605" s="12" t="s">
        <v>529</v>
      </c>
      <c r="L605" s="12" t="s">
        <v>531</v>
      </c>
    </row>
    <row r="606" customFormat="false" ht="15" hidden="false" customHeight="false" outlineLevel="0" collapsed="false">
      <c r="A606" s="4" t="n">
        <v>602</v>
      </c>
      <c r="B606" s="11" t="s">
        <v>529</v>
      </c>
      <c r="C606" s="11" t="s">
        <v>664</v>
      </c>
      <c r="D606" s="11" t="s">
        <v>535</v>
      </c>
      <c r="E606" s="11" t="s">
        <v>60</v>
      </c>
      <c r="F606" s="11" t="s">
        <v>531</v>
      </c>
      <c r="G606" s="12" t="s">
        <v>532</v>
      </c>
      <c r="H606" s="12" t="s">
        <v>532</v>
      </c>
      <c r="I606" s="12" t="s">
        <v>532</v>
      </c>
      <c r="J606" s="12" t="s">
        <v>529</v>
      </c>
      <c r="K606" s="12" t="s">
        <v>529</v>
      </c>
      <c r="L606" s="12" t="s">
        <v>531</v>
      </c>
    </row>
    <row r="607" customFormat="false" ht="15" hidden="false" customHeight="false" outlineLevel="0" collapsed="false">
      <c r="A607" s="4" t="n">
        <v>603</v>
      </c>
      <c r="B607" s="11" t="s">
        <v>529</v>
      </c>
      <c r="C607" s="11" t="s">
        <v>665</v>
      </c>
      <c r="D607" s="11" t="s">
        <v>535</v>
      </c>
      <c r="E607" s="11" t="s">
        <v>60</v>
      </c>
      <c r="F607" s="11" t="s">
        <v>531</v>
      </c>
      <c r="G607" s="12" t="s">
        <v>532</v>
      </c>
      <c r="H607" s="12" t="s">
        <v>532</v>
      </c>
      <c r="I607" s="12" t="s">
        <v>532</v>
      </c>
      <c r="J607" s="12" t="s">
        <v>529</v>
      </c>
      <c r="K607" s="12" t="s">
        <v>529</v>
      </c>
      <c r="L607" s="12" t="s">
        <v>531</v>
      </c>
    </row>
    <row r="608" customFormat="false" ht="15" hidden="false" customHeight="false" outlineLevel="0" collapsed="false">
      <c r="A608" s="4" t="n">
        <v>604</v>
      </c>
      <c r="B608" s="11" t="s">
        <v>529</v>
      </c>
      <c r="C608" s="11" t="s">
        <v>666</v>
      </c>
      <c r="D608" s="11" t="s">
        <v>279</v>
      </c>
      <c r="E608" s="11" t="s">
        <v>20</v>
      </c>
      <c r="F608" s="11" t="s">
        <v>531</v>
      </c>
      <c r="G608" s="12" t="s">
        <v>532</v>
      </c>
      <c r="H608" s="12" t="s">
        <v>532</v>
      </c>
      <c r="I608" s="12" t="s">
        <v>532</v>
      </c>
      <c r="J608" s="12" t="s">
        <v>529</v>
      </c>
      <c r="K608" s="12" t="s">
        <v>529</v>
      </c>
      <c r="L608" s="12" t="s">
        <v>531</v>
      </c>
    </row>
    <row r="609" customFormat="false" ht="15" hidden="false" customHeight="false" outlineLevel="0" collapsed="false">
      <c r="A609" s="4" t="n">
        <v>605</v>
      </c>
      <c r="B609" s="11" t="s">
        <v>529</v>
      </c>
      <c r="C609" s="11" t="s">
        <v>667</v>
      </c>
      <c r="D609" s="11" t="s">
        <v>401</v>
      </c>
      <c r="E609" s="11" t="s">
        <v>16</v>
      </c>
      <c r="F609" s="11" t="s">
        <v>531</v>
      </c>
      <c r="G609" s="12" t="s">
        <v>532</v>
      </c>
      <c r="H609" s="12" t="s">
        <v>532</v>
      </c>
      <c r="I609" s="12" t="s">
        <v>532</v>
      </c>
      <c r="J609" s="12" t="s">
        <v>529</v>
      </c>
      <c r="K609" s="12" t="s">
        <v>529</v>
      </c>
      <c r="L609" s="12" t="s">
        <v>531</v>
      </c>
    </row>
    <row r="610" customFormat="false" ht="15" hidden="false" customHeight="false" outlineLevel="0" collapsed="false">
      <c r="A610" s="4" t="n">
        <v>606</v>
      </c>
      <c r="B610" s="11" t="s">
        <v>529</v>
      </c>
      <c r="C610" s="11" t="s">
        <v>668</v>
      </c>
      <c r="D610" s="11" t="s">
        <v>79</v>
      </c>
      <c r="E610" s="11" t="s">
        <v>60</v>
      </c>
      <c r="F610" s="11" t="s">
        <v>531</v>
      </c>
      <c r="G610" s="12" t="s">
        <v>532</v>
      </c>
      <c r="H610" s="12" t="s">
        <v>532</v>
      </c>
      <c r="I610" s="12" t="s">
        <v>532</v>
      </c>
      <c r="J610" s="12" t="s">
        <v>529</v>
      </c>
      <c r="K610" s="12" t="s">
        <v>529</v>
      </c>
      <c r="L610" s="12" t="s">
        <v>531</v>
      </c>
    </row>
    <row r="611" customFormat="false" ht="15" hidden="false" customHeight="false" outlineLevel="0" collapsed="false">
      <c r="A611" s="4" t="n">
        <v>607</v>
      </c>
      <c r="B611" s="11" t="s">
        <v>529</v>
      </c>
      <c r="C611" s="11" t="s">
        <v>669</v>
      </c>
      <c r="D611" s="11" t="s">
        <v>535</v>
      </c>
      <c r="E611" s="11" t="s">
        <v>60</v>
      </c>
      <c r="F611" s="11" t="s">
        <v>531</v>
      </c>
      <c r="G611" s="12" t="s">
        <v>532</v>
      </c>
      <c r="H611" s="12" t="s">
        <v>532</v>
      </c>
      <c r="I611" s="12" t="s">
        <v>532</v>
      </c>
      <c r="J611" s="12" t="s">
        <v>529</v>
      </c>
      <c r="K611" s="12" t="s">
        <v>529</v>
      </c>
      <c r="L611" s="12" t="s">
        <v>531</v>
      </c>
    </row>
    <row r="612" customFormat="false" ht="15" hidden="false" customHeight="false" outlineLevel="0" collapsed="false">
      <c r="A612" s="4" t="n">
        <v>608</v>
      </c>
      <c r="B612" s="11" t="s">
        <v>529</v>
      </c>
      <c r="C612" s="11" t="s">
        <v>670</v>
      </c>
      <c r="D612" s="11" t="s">
        <v>59</v>
      </c>
      <c r="E612" s="11" t="s">
        <v>60</v>
      </c>
      <c r="F612" s="11" t="s">
        <v>531</v>
      </c>
      <c r="G612" s="12" t="s">
        <v>532</v>
      </c>
      <c r="H612" s="12" t="s">
        <v>532</v>
      </c>
      <c r="I612" s="12" t="s">
        <v>532</v>
      </c>
      <c r="J612" s="12" t="s">
        <v>529</v>
      </c>
      <c r="K612" s="12" t="s">
        <v>529</v>
      </c>
      <c r="L612" s="12" t="s">
        <v>531</v>
      </c>
    </row>
    <row r="613" customFormat="false" ht="15" hidden="false" customHeight="false" outlineLevel="0" collapsed="false">
      <c r="A613" s="4" t="n">
        <v>609</v>
      </c>
      <c r="B613" s="11" t="s">
        <v>529</v>
      </c>
      <c r="C613" s="11" t="s">
        <v>671</v>
      </c>
      <c r="D613" s="11" t="s">
        <v>38</v>
      </c>
      <c r="E613" s="11" t="s">
        <v>16</v>
      </c>
      <c r="F613" s="11" t="s">
        <v>531</v>
      </c>
      <c r="G613" s="12" t="s">
        <v>532</v>
      </c>
      <c r="H613" s="12" t="s">
        <v>532</v>
      </c>
      <c r="I613" s="12" t="s">
        <v>532</v>
      </c>
      <c r="J613" s="12" t="s">
        <v>529</v>
      </c>
      <c r="K613" s="12" t="s">
        <v>529</v>
      </c>
      <c r="L613" s="12" t="s">
        <v>531</v>
      </c>
    </row>
    <row r="614" customFormat="false" ht="15" hidden="false" customHeight="false" outlineLevel="0" collapsed="false">
      <c r="A614" s="4" t="n">
        <v>610</v>
      </c>
      <c r="B614" s="11" t="s">
        <v>529</v>
      </c>
      <c r="C614" s="11" t="s">
        <v>672</v>
      </c>
      <c r="D614" s="11" t="s">
        <v>106</v>
      </c>
      <c r="E614" s="11" t="s">
        <v>87</v>
      </c>
      <c r="F614" s="11" t="s">
        <v>531</v>
      </c>
      <c r="G614" s="12" t="s">
        <v>532</v>
      </c>
      <c r="H614" s="12" t="s">
        <v>532</v>
      </c>
      <c r="I614" s="12" t="s">
        <v>532</v>
      </c>
      <c r="J614" s="12" t="s">
        <v>529</v>
      </c>
      <c r="K614" s="12" t="s">
        <v>529</v>
      </c>
      <c r="L614" s="12" t="s">
        <v>531</v>
      </c>
    </row>
    <row r="615" customFormat="false" ht="15" hidden="false" customHeight="false" outlineLevel="0" collapsed="false">
      <c r="A615" s="4" t="n">
        <v>611</v>
      </c>
      <c r="B615" s="11" t="s">
        <v>529</v>
      </c>
      <c r="C615" s="11" t="s">
        <v>673</v>
      </c>
      <c r="D615" s="11" t="s">
        <v>158</v>
      </c>
      <c r="E615" s="11" t="s">
        <v>16</v>
      </c>
      <c r="F615" s="11" t="s">
        <v>531</v>
      </c>
      <c r="G615" s="12" t="s">
        <v>532</v>
      </c>
      <c r="H615" s="12" t="s">
        <v>532</v>
      </c>
      <c r="I615" s="12" t="s">
        <v>532</v>
      </c>
      <c r="J615" s="12" t="s">
        <v>529</v>
      </c>
      <c r="K615" s="12" t="s">
        <v>529</v>
      </c>
      <c r="L615" s="12" t="s">
        <v>531</v>
      </c>
    </row>
    <row r="616" customFormat="false" ht="15" hidden="false" customHeight="false" outlineLevel="0" collapsed="false">
      <c r="A616" s="4" t="n">
        <v>612</v>
      </c>
      <c r="B616" s="11" t="s">
        <v>529</v>
      </c>
      <c r="C616" s="11" t="s">
        <v>674</v>
      </c>
      <c r="D616" s="11" t="s">
        <v>401</v>
      </c>
      <c r="E616" s="11" t="s">
        <v>16</v>
      </c>
      <c r="F616" s="11" t="s">
        <v>531</v>
      </c>
      <c r="G616" s="12" t="s">
        <v>532</v>
      </c>
      <c r="H616" s="12" t="s">
        <v>532</v>
      </c>
      <c r="I616" s="12" t="s">
        <v>532</v>
      </c>
      <c r="J616" s="12" t="s">
        <v>529</v>
      </c>
      <c r="K616" s="12" t="s">
        <v>529</v>
      </c>
      <c r="L616" s="12" t="s">
        <v>531</v>
      </c>
    </row>
    <row r="617" customFormat="false" ht="15" hidden="false" customHeight="false" outlineLevel="0" collapsed="false">
      <c r="A617" s="4" t="n">
        <v>613</v>
      </c>
      <c r="B617" s="11" t="s">
        <v>529</v>
      </c>
      <c r="C617" s="11" t="s">
        <v>675</v>
      </c>
      <c r="D617" s="11" t="s">
        <v>79</v>
      </c>
      <c r="E617" s="11" t="s">
        <v>60</v>
      </c>
      <c r="F617" s="11" t="s">
        <v>531</v>
      </c>
      <c r="G617" s="12" t="s">
        <v>532</v>
      </c>
      <c r="H617" s="12" t="s">
        <v>532</v>
      </c>
      <c r="I617" s="12" t="s">
        <v>532</v>
      </c>
      <c r="J617" s="12" t="s">
        <v>529</v>
      </c>
      <c r="K617" s="12" t="s">
        <v>529</v>
      </c>
      <c r="L617" s="12" t="s">
        <v>531</v>
      </c>
    </row>
    <row r="618" customFormat="false" ht="15" hidden="false" customHeight="false" outlineLevel="0" collapsed="false">
      <c r="A618" s="4" t="n">
        <v>614</v>
      </c>
      <c r="B618" s="11" t="s">
        <v>529</v>
      </c>
      <c r="C618" s="11" t="s">
        <v>676</v>
      </c>
      <c r="D618" s="11" t="s">
        <v>29</v>
      </c>
      <c r="E618" s="11" t="s">
        <v>30</v>
      </c>
      <c r="F618" s="11" t="s">
        <v>531</v>
      </c>
      <c r="G618" s="12" t="s">
        <v>532</v>
      </c>
      <c r="H618" s="12" t="s">
        <v>532</v>
      </c>
      <c r="I618" s="12" t="s">
        <v>532</v>
      </c>
      <c r="J618" s="12" t="s">
        <v>529</v>
      </c>
      <c r="K618" s="12" t="s">
        <v>529</v>
      </c>
      <c r="L618" s="12" t="s">
        <v>531</v>
      </c>
    </row>
    <row r="619" customFormat="false" ht="15" hidden="false" customHeight="false" outlineLevel="0" collapsed="false">
      <c r="A619" s="4" t="n">
        <v>615</v>
      </c>
      <c r="B619" s="11" t="s">
        <v>529</v>
      </c>
      <c r="C619" s="11" t="s">
        <v>677</v>
      </c>
      <c r="D619" s="11" t="s">
        <v>106</v>
      </c>
      <c r="E619" s="11" t="s">
        <v>87</v>
      </c>
      <c r="F619" s="11" t="s">
        <v>531</v>
      </c>
      <c r="G619" s="12" t="s">
        <v>532</v>
      </c>
      <c r="H619" s="12" t="s">
        <v>532</v>
      </c>
      <c r="I619" s="12" t="s">
        <v>532</v>
      </c>
      <c r="J619" s="12" t="s">
        <v>529</v>
      </c>
      <c r="K619" s="12" t="s">
        <v>529</v>
      </c>
      <c r="L619" s="12" t="s">
        <v>531</v>
      </c>
    </row>
    <row r="620" customFormat="false" ht="15" hidden="false" customHeight="false" outlineLevel="0" collapsed="false">
      <c r="A620" s="4" t="n">
        <v>616</v>
      </c>
      <c r="B620" s="11" t="s">
        <v>529</v>
      </c>
      <c r="C620" s="11" t="s">
        <v>678</v>
      </c>
      <c r="D620" s="11" t="s">
        <v>162</v>
      </c>
      <c r="E620" s="11" t="s">
        <v>60</v>
      </c>
      <c r="F620" s="11" t="s">
        <v>531</v>
      </c>
      <c r="G620" s="12" t="s">
        <v>532</v>
      </c>
      <c r="H620" s="12" t="s">
        <v>532</v>
      </c>
      <c r="I620" s="12" t="s">
        <v>532</v>
      </c>
      <c r="J620" s="12" t="s">
        <v>529</v>
      </c>
      <c r="K620" s="12" t="s">
        <v>529</v>
      </c>
      <c r="L620" s="12" t="s">
        <v>531</v>
      </c>
    </row>
    <row r="621" customFormat="false" ht="15" hidden="false" customHeight="false" outlineLevel="0" collapsed="false">
      <c r="A621" s="4" t="n">
        <v>617</v>
      </c>
      <c r="B621" s="11" t="s">
        <v>529</v>
      </c>
      <c r="C621" s="11" t="s">
        <v>679</v>
      </c>
      <c r="D621" s="11" t="s">
        <v>162</v>
      </c>
      <c r="E621" s="11" t="s">
        <v>60</v>
      </c>
      <c r="F621" s="11" t="s">
        <v>531</v>
      </c>
      <c r="G621" s="12" t="s">
        <v>532</v>
      </c>
      <c r="H621" s="12" t="s">
        <v>532</v>
      </c>
      <c r="I621" s="12" t="s">
        <v>532</v>
      </c>
      <c r="J621" s="12" t="s">
        <v>529</v>
      </c>
      <c r="K621" s="12" t="s">
        <v>529</v>
      </c>
      <c r="L621" s="12" t="s">
        <v>531</v>
      </c>
    </row>
    <row r="622" customFormat="false" ht="15" hidden="false" customHeight="false" outlineLevel="0" collapsed="false">
      <c r="A622" s="4" t="n">
        <v>618</v>
      </c>
      <c r="B622" s="11" t="s">
        <v>529</v>
      </c>
      <c r="C622" s="11" t="s">
        <v>680</v>
      </c>
      <c r="D622" s="11" t="s">
        <v>74</v>
      </c>
      <c r="E622" s="11" t="s">
        <v>60</v>
      </c>
      <c r="F622" s="11" t="s">
        <v>531</v>
      </c>
      <c r="G622" s="12" t="s">
        <v>532</v>
      </c>
      <c r="H622" s="12" t="s">
        <v>532</v>
      </c>
      <c r="I622" s="12" t="s">
        <v>532</v>
      </c>
      <c r="J622" s="12" t="s">
        <v>529</v>
      </c>
      <c r="K622" s="12" t="s">
        <v>529</v>
      </c>
      <c r="L622" s="12" t="s">
        <v>531</v>
      </c>
    </row>
    <row r="623" customFormat="false" ht="15" hidden="false" customHeight="false" outlineLevel="0" collapsed="false">
      <c r="A623" s="4" t="n">
        <v>619</v>
      </c>
      <c r="B623" s="11" t="s">
        <v>529</v>
      </c>
      <c r="C623" s="11" t="s">
        <v>681</v>
      </c>
      <c r="D623" s="11" t="s">
        <v>256</v>
      </c>
      <c r="E623" s="11" t="s">
        <v>60</v>
      </c>
      <c r="F623" s="11" t="s">
        <v>531</v>
      </c>
      <c r="G623" s="12" t="s">
        <v>532</v>
      </c>
      <c r="H623" s="12" t="s">
        <v>532</v>
      </c>
      <c r="I623" s="12" t="s">
        <v>532</v>
      </c>
      <c r="J623" s="12" t="s">
        <v>529</v>
      </c>
      <c r="K623" s="12" t="s">
        <v>529</v>
      </c>
      <c r="L623" s="12" t="s">
        <v>531</v>
      </c>
    </row>
    <row r="624" customFormat="false" ht="15" hidden="false" customHeight="false" outlineLevel="0" collapsed="false">
      <c r="A624" s="4" t="n">
        <v>620</v>
      </c>
      <c r="B624" s="11" t="s">
        <v>529</v>
      </c>
      <c r="C624" s="11" t="s">
        <v>682</v>
      </c>
      <c r="D624" s="11" t="s">
        <v>158</v>
      </c>
      <c r="E624" s="11" t="s">
        <v>16</v>
      </c>
      <c r="F624" s="11" t="s">
        <v>531</v>
      </c>
      <c r="G624" s="12" t="s">
        <v>532</v>
      </c>
      <c r="H624" s="12" t="s">
        <v>532</v>
      </c>
      <c r="I624" s="12" t="s">
        <v>532</v>
      </c>
      <c r="J624" s="12" t="s">
        <v>529</v>
      </c>
      <c r="K624" s="12" t="s">
        <v>529</v>
      </c>
      <c r="L624" s="12" t="s">
        <v>531</v>
      </c>
    </row>
    <row r="625" customFormat="false" ht="15" hidden="false" customHeight="false" outlineLevel="0" collapsed="false">
      <c r="A625" s="4" t="n">
        <v>621</v>
      </c>
      <c r="B625" s="11" t="s">
        <v>529</v>
      </c>
      <c r="C625" s="11" t="s">
        <v>683</v>
      </c>
      <c r="D625" s="11" t="s">
        <v>256</v>
      </c>
      <c r="E625" s="11" t="s">
        <v>60</v>
      </c>
      <c r="F625" s="11" t="s">
        <v>531</v>
      </c>
      <c r="G625" s="12" t="s">
        <v>532</v>
      </c>
      <c r="H625" s="12" t="s">
        <v>532</v>
      </c>
      <c r="I625" s="12" t="s">
        <v>532</v>
      </c>
      <c r="J625" s="12" t="s">
        <v>529</v>
      </c>
      <c r="K625" s="12" t="s">
        <v>529</v>
      </c>
      <c r="L625" s="12" t="s">
        <v>531</v>
      </c>
    </row>
    <row r="626" customFormat="false" ht="15" hidden="false" customHeight="false" outlineLevel="0" collapsed="false">
      <c r="A626" s="4" t="n">
        <v>622</v>
      </c>
      <c r="B626" s="11" t="s">
        <v>529</v>
      </c>
      <c r="C626" s="11" t="s">
        <v>684</v>
      </c>
      <c r="D626" s="11" t="s">
        <v>517</v>
      </c>
      <c r="E626" s="11" t="s">
        <v>16</v>
      </c>
      <c r="F626" s="11" t="s">
        <v>531</v>
      </c>
      <c r="G626" s="12" t="s">
        <v>532</v>
      </c>
      <c r="H626" s="12" t="s">
        <v>532</v>
      </c>
      <c r="I626" s="12" t="s">
        <v>532</v>
      </c>
      <c r="J626" s="12" t="s">
        <v>529</v>
      </c>
      <c r="K626" s="12" t="s">
        <v>529</v>
      </c>
      <c r="L626" s="12" t="s">
        <v>531</v>
      </c>
    </row>
    <row r="627" customFormat="false" ht="15" hidden="false" customHeight="false" outlineLevel="0" collapsed="false">
      <c r="A627" s="4" t="n">
        <v>623</v>
      </c>
      <c r="B627" s="11" t="s">
        <v>529</v>
      </c>
      <c r="C627" s="11" t="s">
        <v>685</v>
      </c>
      <c r="D627" s="11" t="s">
        <v>19</v>
      </c>
      <c r="E627" s="11" t="s">
        <v>20</v>
      </c>
      <c r="F627" s="11" t="s">
        <v>531</v>
      </c>
      <c r="G627" s="12" t="s">
        <v>532</v>
      </c>
      <c r="H627" s="12" t="s">
        <v>532</v>
      </c>
      <c r="I627" s="12" t="s">
        <v>532</v>
      </c>
      <c r="J627" s="12" t="s">
        <v>529</v>
      </c>
      <c r="K627" s="12" t="s">
        <v>529</v>
      </c>
      <c r="L627" s="12" t="s">
        <v>531</v>
      </c>
    </row>
    <row r="628" customFormat="false" ht="15" hidden="false" customHeight="false" outlineLevel="0" collapsed="false">
      <c r="A628" s="4" t="n">
        <v>624</v>
      </c>
      <c r="B628" s="11" t="s">
        <v>529</v>
      </c>
      <c r="C628" s="11" t="s">
        <v>686</v>
      </c>
      <c r="D628" s="11" t="s">
        <v>86</v>
      </c>
      <c r="E628" s="11" t="s">
        <v>87</v>
      </c>
      <c r="F628" s="11" t="s">
        <v>531</v>
      </c>
      <c r="G628" s="12" t="s">
        <v>532</v>
      </c>
      <c r="H628" s="12" t="s">
        <v>532</v>
      </c>
      <c r="I628" s="12" t="s">
        <v>532</v>
      </c>
      <c r="J628" s="12" t="s">
        <v>529</v>
      </c>
      <c r="K628" s="12" t="s">
        <v>529</v>
      </c>
      <c r="L628" s="12" t="s">
        <v>531</v>
      </c>
    </row>
    <row r="629" customFormat="false" ht="15" hidden="false" customHeight="false" outlineLevel="0" collapsed="false">
      <c r="A629" s="4" t="n">
        <v>625</v>
      </c>
      <c r="B629" s="11" t="s">
        <v>529</v>
      </c>
      <c r="C629" s="11" t="s">
        <v>687</v>
      </c>
      <c r="D629" s="11" t="s">
        <v>38</v>
      </c>
      <c r="E629" s="11" t="s">
        <v>16</v>
      </c>
      <c r="F629" s="11" t="s">
        <v>531</v>
      </c>
      <c r="G629" s="12" t="s">
        <v>532</v>
      </c>
      <c r="H629" s="12" t="s">
        <v>532</v>
      </c>
      <c r="I629" s="12" t="s">
        <v>532</v>
      </c>
      <c r="J629" s="12" t="s">
        <v>529</v>
      </c>
      <c r="K629" s="12" t="s">
        <v>529</v>
      </c>
      <c r="L629" s="12" t="s">
        <v>531</v>
      </c>
    </row>
    <row r="630" customFormat="false" ht="15" hidden="false" customHeight="false" outlineLevel="0" collapsed="false">
      <c r="A630" s="4" t="n">
        <v>626</v>
      </c>
      <c r="B630" s="11" t="s">
        <v>529</v>
      </c>
      <c r="C630" s="11" t="s">
        <v>688</v>
      </c>
      <c r="D630" s="11" t="s">
        <v>108</v>
      </c>
      <c r="E630" s="11" t="s">
        <v>30</v>
      </c>
      <c r="F630" s="11" t="s">
        <v>531</v>
      </c>
      <c r="G630" s="12" t="s">
        <v>532</v>
      </c>
      <c r="H630" s="12" t="s">
        <v>532</v>
      </c>
      <c r="I630" s="12" t="s">
        <v>532</v>
      </c>
      <c r="J630" s="12" t="s">
        <v>529</v>
      </c>
      <c r="K630" s="12" t="s">
        <v>529</v>
      </c>
      <c r="L630" s="12" t="s">
        <v>531</v>
      </c>
    </row>
    <row r="631" customFormat="false" ht="15" hidden="false" customHeight="false" outlineLevel="0" collapsed="false">
      <c r="A631" s="4" t="n">
        <v>627</v>
      </c>
      <c r="B631" s="11" t="s">
        <v>529</v>
      </c>
      <c r="C631" s="11" t="s">
        <v>689</v>
      </c>
      <c r="D631" s="11" t="s">
        <v>535</v>
      </c>
      <c r="E631" s="11" t="s">
        <v>60</v>
      </c>
      <c r="F631" s="11" t="s">
        <v>531</v>
      </c>
      <c r="G631" s="12" t="s">
        <v>532</v>
      </c>
      <c r="H631" s="12" t="s">
        <v>532</v>
      </c>
      <c r="I631" s="12" t="s">
        <v>532</v>
      </c>
      <c r="J631" s="12" t="s">
        <v>529</v>
      </c>
      <c r="K631" s="12" t="s">
        <v>529</v>
      </c>
      <c r="L631" s="12" t="s">
        <v>531</v>
      </c>
    </row>
    <row r="632" customFormat="false" ht="15" hidden="false" customHeight="false" outlineLevel="0" collapsed="false">
      <c r="A632" s="4" t="n">
        <v>628</v>
      </c>
      <c r="B632" s="11" t="s">
        <v>529</v>
      </c>
      <c r="C632" s="11" t="s">
        <v>690</v>
      </c>
      <c r="D632" s="11" t="s">
        <v>98</v>
      </c>
      <c r="E632" s="11" t="s">
        <v>16</v>
      </c>
      <c r="F632" s="11" t="s">
        <v>531</v>
      </c>
      <c r="G632" s="12" t="s">
        <v>532</v>
      </c>
      <c r="H632" s="12" t="s">
        <v>532</v>
      </c>
      <c r="I632" s="12" t="s">
        <v>532</v>
      </c>
      <c r="J632" s="12" t="s">
        <v>529</v>
      </c>
      <c r="K632" s="12" t="s">
        <v>529</v>
      </c>
      <c r="L632" s="12" t="s">
        <v>531</v>
      </c>
    </row>
    <row r="633" customFormat="false" ht="15" hidden="false" customHeight="false" outlineLevel="0" collapsed="false">
      <c r="A633" s="4" t="n">
        <v>629</v>
      </c>
      <c r="B633" s="11" t="s">
        <v>529</v>
      </c>
      <c r="C633" s="11" t="s">
        <v>691</v>
      </c>
      <c r="D633" s="11" t="s">
        <v>201</v>
      </c>
      <c r="E633" s="11" t="s">
        <v>60</v>
      </c>
      <c r="F633" s="11" t="s">
        <v>531</v>
      </c>
      <c r="G633" s="12" t="s">
        <v>532</v>
      </c>
      <c r="H633" s="12" t="s">
        <v>532</v>
      </c>
      <c r="I633" s="12" t="s">
        <v>532</v>
      </c>
      <c r="J633" s="12" t="s">
        <v>529</v>
      </c>
      <c r="K633" s="12" t="s">
        <v>529</v>
      </c>
      <c r="L633" s="12" t="s">
        <v>531</v>
      </c>
    </row>
    <row r="634" customFormat="false" ht="15" hidden="false" customHeight="false" outlineLevel="0" collapsed="false">
      <c r="A634" s="4" t="n">
        <v>630</v>
      </c>
      <c r="B634" s="11" t="s">
        <v>529</v>
      </c>
      <c r="C634" s="11" t="s">
        <v>692</v>
      </c>
      <c r="D634" s="11" t="s">
        <v>98</v>
      </c>
      <c r="E634" s="11" t="s">
        <v>16</v>
      </c>
      <c r="F634" s="11" t="s">
        <v>531</v>
      </c>
      <c r="G634" s="12" t="s">
        <v>532</v>
      </c>
      <c r="H634" s="12" t="s">
        <v>532</v>
      </c>
      <c r="I634" s="12" t="s">
        <v>532</v>
      </c>
      <c r="J634" s="12" t="s">
        <v>529</v>
      </c>
      <c r="K634" s="12" t="s">
        <v>529</v>
      </c>
      <c r="L634" s="12" t="s">
        <v>531</v>
      </c>
    </row>
    <row r="635" customFormat="false" ht="15" hidden="false" customHeight="false" outlineLevel="0" collapsed="false">
      <c r="A635" s="4" t="n">
        <v>631</v>
      </c>
      <c r="B635" s="11" t="s">
        <v>529</v>
      </c>
      <c r="C635" s="11" t="s">
        <v>693</v>
      </c>
      <c r="D635" s="11" t="s">
        <v>199</v>
      </c>
      <c r="E635" s="11" t="s">
        <v>16</v>
      </c>
      <c r="F635" s="11" t="s">
        <v>531</v>
      </c>
      <c r="G635" s="12" t="s">
        <v>532</v>
      </c>
      <c r="H635" s="12" t="s">
        <v>532</v>
      </c>
      <c r="I635" s="12" t="s">
        <v>532</v>
      </c>
      <c r="J635" s="12" t="s">
        <v>529</v>
      </c>
      <c r="K635" s="12" t="s">
        <v>529</v>
      </c>
      <c r="L635" s="12" t="s">
        <v>531</v>
      </c>
    </row>
    <row r="636" customFormat="false" ht="15" hidden="false" customHeight="false" outlineLevel="0" collapsed="false">
      <c r="A636" s="4" t="n">
        <v>632</v>
      </c>
      <c r="B636" s="11" t="s">
        <v>529</v>
      </c>
      <c r="C636" s="11" t="s">
        <v>694</v>
      </c>
      <c r="D636" s="11" t="s">
        <v>15</v>
      </c>
      <c r="E636" s="11" t="s">
        <v>16</v>
      </c>
      <c r="F636" s="11" t="s">
        <v>531</v>
      </c>
      <c r="G636" s="12" t="s">
        <v>532</v>
      </c>
      <c r="H636" s="12" t="s">
        <v>532</v>
      </c>
      <c r="I636" s="12" t="s">
        <v>532</v>
      </c>
      <c r="J636" s="12" t="s">
        <v>529</v>
      </c>
      <c r="K636" s="12" t="s">
        <v>529</v>
      </c>
      <c r="L636" s="12" t="s">
        <v>531</v>
      </c>
    </row>
    <row r="637" customFormat="false" ht="15" hidden="false" customHeight="false" outlineLevel="0" collapsed="false">
      <c r="A637" s="4" t="n">
        <v>633</v>
      </c>
      <c r="B637" s="11" t="s">
        <v>529</v>
      </c>
      <c r="C637" s="11" t="s">
        <v>695</v>
      </c>
      <c r="D637" s="11" t="s">
        <v>201</v>
      </c>
      <c r="E637" s="11" t="s">
        <v>60</v>
      </c>
      <c r="F637" s="11" t="s">
        <v>531</v>
      </c>
      <c r="G637" s="12" t="s">
        <v>532</v>
      </c>
      <c r="H637" s="12" t="s">
        <v>532</v>
      </c>
      <c r="I637" s="12" t="s">
        <v>532</v>
      </c>
      <c r="J637" s="12" t="s">
        <v>529</v>
      </c>
      <c r="K637" s="12" t="s">
        <v>529</v>
      </c>
      <c r="L637" s="12" t="s">
        <v>531</v>
      </c>
    </row>
    <row r="638" customFormat="false" ht="15" hidden="false" customHeight="false" outlineLevel="0" collapsed="false">
      <c r="A638" s="4" t="n">
        <v>634</v>
      </c>
      <c r="B638" s="11" t="s">
        <v>529</v>
      </c>
      <c r="C638" s="11" t="s">
        <v>696</v>
      </c>
      <c r="D638" s="11" t="s">
        <v>79</v>
      </c>
      <c r="E638" s="11" t="s">
        <v>60</v>
      </c>
      <c r="F638" s="11" t="s">
        <v>531</v>
      </c>
      <c r="G638" s="12" t="s">
        <v>532</v>
      </c>
      <c r="H638" s="12" t="s">
        <v>532</v>
      </c>
      <c r="I638" s="12" t="s">
        <v>532</v>
      </c>
      <c r="J638" s="12" t="s">
        <v>529</v>
      </c>
      <c r="K638" s="12" t="s">
        <v>529</v>
      </c>
      <c r="L638" s="12" t="s">
        <v>531</v>
      </c>
    </row>
    <row r="639" customFormat="false" ht="15" hidden="false" customHeight="false" outlineLevel="0" collapsed="false">
      <c r="A639" s="4" t="n">
        <v>635</v>
      </c>
      <c r="B639" s="11" t="s">
        <v>529</v>
      </c>
      <c r="C639" s="11" t="s">
        <v>697</v>
      </c>
      <c r="D639" s="11" t="s">
        <v>38</v>
      </c>
      <c r="E639" s="11" t="s">
        <v>16</v>
      </c>
      <c r="F639" s="11" t="s">
        <v>531</v>
      </c>
      <c r="G639" s="12" t="s">
        <v>532</v>
      </c>
      <c r="H639" s="12" t="s">
        <v>532</v>
      </c>
      <c r="I639" s="12" t="s">
        <v>532</v>
      </c>
      <c r="J639" s="12" t="s">
        <v>529</v>
      </c>
      <c r="K639" s="12" t="s">
        <v>529</v>
      </c>
      <c r="L639" s="12" t="s">
        <v>531</v>
      </c>
    </row>
    <row r="640" customFormat="false" ht="15" hidden="false" customHeight="false" outlineLevel="0" collapsed="false">
      <c r="A640" s="4" t="n">
        <v>636</v>
      </c>
      <c r="B640" s="11" t="s">
        <v>529</v>
      </c>
      <c r="C640" s="11" t="s">
        <v>698</v>
      </c>
      <c r="D640" s="11" t="s">
        <v>162</v>
      </c>
      <c r="E640" s="11" t="s">
        <v>60</v>
      </c>
      <c r="F640" s="11" t="s">
        <v>531</v>
      </c>
      <c r="G640" s="12" t="s">
        <v>532</v>
      </c>
      <c r="H640" s="12" t="s">
        <v>532</v>
      </c>
      <c r="I640" s="12" t="s">
        <v>532</v>
      </c>
      <c r="J640" s="12" t="s">
        <v>529</v>
      </c>
      <c r="K640" s="12" t="s">
        <v>529</v>
      </c>
      <c r="L640" s="12" t="s">
        <v>531</v>
      </c>
    </row>
    <row r="641" customFormat="false" ht="15" hidden="false" customHeight="false" outlineLevel="0" collapsed="false">
      <c r="A641" s="4" t="n">
        <v>637</v>
      </c>
      <c r="B641" s="11" t="s">
        <v>529</v>
      </c>
      <c r="C641" s="11" t="s">
        <v>699</v>
      </c>
      <c r="D641" s="11" t="s">
        <v>158</v>
      </c>
      <c r="E641" s="11" t="s">
        <v>16</v>
      </c>
      <c r="F641" s="11" t="s">
        <v>531</v>
      </c>
      <c r="G641" s="12" t="s">
        <v>532</v>
      </c>
      <c r="H641" s="12" t="s">
        <v>532</v>
      </c>
      <c r="I641" s="12" t="s">
        <v>532</v>
      </c>
      <c r="J641" s="12" t="s">
        <v>529</v>
      </c>
      <c r="K641" s="12" t="s">
        <v>529</v>
      </c>
      <c r="L641" s="12" t="s">
        <v>531</v>
      </c>
    </row>
    <row r="642" customFormat="false" ht="15" hidden="false" customHeight="false" outlineLevel="0" collapsed="false">
      <c r="A642" s="4" t="n">
        <v>638</v>
      </c>
      <c r="B642" s="11" t="s">
        <v>529</v>
      </c>
      <c r="C642" s="11" t="s">
        <v>700</v>
      </c>
      <c r="D642" s="11" t="s">
        <v>98</v>
      </c>
      <c r="E642" s="11" t="s">
        <v>16</v>
      </c>
      <c r="F642" s="11" t="s">
        <v>531</v>
      </c>
      <c r="G642" s="12" t="s">
        <v>532</v>
      </c>
      <c r="H642" s="12" t="s">
        <v>532</v>
      </c>
      <c r="I642" s="12" t="s">
        <v>532</v>
      </c>
      <c r="J642" s="12" t="s">
        <v>529</v>
      </c>
      <c r="K642" s="12" t="s">
        <v>529</v>
      </c>
      <c r="L642" s="12" t="s">
        <v>531</v>
      </c>
    </row>
    <row r="643" customFormat="false" ht="15" hidden="false" customHeight="false" outlineLevel="0" collapsed="false">
      <c r="A643" s="4" t="n">
        <v>639</v>
      </c>
      <c r="B643" s="11" t="s">
        <v>529</v>
      </c>
      <c r="C643" s="11" t="s">
        <v>701</v>
      </c>
      <c r="D643" s="11" t="s">
        <v>95</v>
      </c>
      <c r="E643" s="11" t="s">
        <v>20</v>
      </c>
      <c r="F643" s="11" t="s">
        <v>531</v>
      </c>
      <c r="G643" s="12" t="s">
        <v>532</v>
      </c>
      <c r="H643" s="12" t="s">
        <v>532</v>
      </c>
      <c r="I643" s="12" t="s">
        <v>532</v>
      </c>
      <c r="J643" s="12" t="s">
        <v>529</v>
      </c>
      <c r="K643" s="12" t="s">
        <v>529</v>
      </c>
      <c r="L643" s="12" t="s">
        <v>531</v>
      </c>
    </row>
    <row r="644" customFormat="false" ht="15" hidden="false" customHeight="false" outlineLevel="0" collapsed="false">
      <c r="A644" s="4" t="n">
        <v>640</v>
      </c>
      <c r="B644" s="11" t="s">
        <v>529</v>
      </c>
      <c r="C644" s="11" t="s">
        <v>702</v>
      </c>
      <c r="D644" s="11" t="s">
        <v>108</v>
      </c>
      <c r="E644" s="11" t="s">
        <v>30</v>
      </c>
      <c r="F644" s="11" t="s">
        <v>531</v>
      </c>
      <c r="G644" s="12" t="s">
        <v>532</v>
      </c>
      <c r="H644" s="12" t="s">
        <v>532</v>
      </c>
      <c r="I644" s="12" t="s">
        <v>532</v>
      </c>
      <c r="J644" s="12" t="s">
        <v>529</v>
      </c>
      <c r="K644" s="12" t="s">
        <v>529</v>
      </c>
      <c r="L644" s="12" t="s">
        <v>531</v>
      </c>
    </row>
    <row r="645" customFormat="false" ht="15" hidden="false" customHeight="false" outlineLevel="0" collapsed="false">
      <c r="A645" s="4" t="n">
        <v>641</v>
      </c>
      <c r="B645" s="11" t="s">
        <v>529</v>
      </c>
      <c r="C645" s="11" t="s">
        <v>703</v>
      </c>
      <c r="D645" s="11" t="s">
        <v>209</v>
      </c>
      <c r="E645" s="11" t="s">
        <v>16</v>
      </c>
      <c r="F645" s="11" t="s">
        <v>531</v>
      </c>
      <c r="G645" s="12" t="s">
        <v>532</v>
      </c>
      <c r="H645" s="12" t="s">
        <v>532</v>
      </c>
      <c r="I645" s="12" t="s">
        <v>532</v>
      </c>
      <c r="J645" s="12" t="s">
        <v>529</v>
      </c>
      <c r="K645" s="12" t="s">
        <v>529</v>
      </c>
      <c r="L645" s="12" t="s">
        <v>531</v>
      </c>
    </row>
    <row r="646" customFormat="false" ht="15" hidden="false" customHeight="false" outlineLevel="0" collapsed="false">
      <c r="A646" s="4" t="n">
        <v>642</v>
      </c>
      <c r="B646" s="11" t="s">
        <v>529</v>
      </c>
      <c r="C646" s="11" t="s">
        <v>704</v>
      </c>
      <c r="D646" s="11" t="s">
        <v>256</v>
      </c>
      <c r="E646" s="11" t="s">
        <v>60</v>
      </c>
      <c r="F646" s="11" t="s">
        <v>531</v>
      </c>
      <c r="G646" s="12" t="s">
        <v>532</v>
      </c>
      <c r="H646" s="12" t="s">
        <v>532</v>
      </c>
      <c r="I646" s="12" t="s">
        <v>532</v>
      </c>
      <c r="J646" s="12" t="s">
        <v>529</v>
      </c>
      <c r="K646" s="12" t="s">
        <v>529</v>
      </c>
      <c r="L646" s="12" t="s">
        <v>531</v>
      </c>
    </row>
    <row r="647" customFormat="false" ht="15" hidden="false" customHeight="false" outlineLevel="0" collapsed="false">
      <c r="A647" s="4" t="n">
        <v>643</v>
      </c>
      <c r="B647" s="11" t="s">
        <v>529</v>
      </c>
      <c r="C647" s="11" t="s">
        <v>705</v>
      </c>
      <c r="D647" s="11" t="s">
        <v>517</v>
      </c>
      <c r="E647" s="11" t="s">
        <v>16</v>
      </c>
      <c r="F647" s="11" t="s">
        <v>531</v>
      </c>
      <c r="G647" s="12" t="s">
        <v>532</v>
      </c>
      <c r="H647" s="12" t="s">
        <v>532</v>
      </c>
      <c r="I647" s="12" t="s">
        <v>532</v>
      </c>
      <c r="J647" s="12" t="s">
        <v>529</v>
      </c>
      <c r="K647" s="12" t="s">
        <v>529</v>
      </c>
      <c r="L647" s="12" t="s">
        <v>531</v>
      </c>
    </row>
    <row r="648" customFormat="false" ht="15" hidden="false" customHeight="false" outlineLevel="0" collapsed="false">
      <c r="A648" s="4" t="n">
        <v>644</v>
      </c>
      <c r="B648" s="11" t="s">
        <v>529</v>
      </c>
      <c r="C648" s="11" t="s">
        <v>706</v>
      </c>
      <c r="D648" s="11" t="s">
        <v>517</v>
      </c>
      <c r="E648" s="11" t="s">
        <v>16</v>
      </c>
      <c r="F648" s="11" t="s">
        <v>531</v>
      </c>
      <c r="G648" s="12" t="s">
        <v>532</v>
      </c>
      <c r="H648" s="12" t="s">
        <v>532</v>
      </c>
      <c r="I648" s="12" t="s">
        <v>532</v>
      </c>
      <c r="J648" s="12" t="s">
        <v>529</v>
      </c>
      <c r="K648" s="12" t="s">
        <v>529</v>
      </c>
      <c r="L648" s="12" t="s">
        <v>531</v>
      </c>
    </row>
    <row r="649" customFormat="false" ht="15" hidden="false" customHeight="false" outlineLevel="0" collapsed="false">
      <c r="A649" s="4" t="n">
        <v>645</v>
      </c>
      <c r="B649" s="11" t="s">
        <v>529</v>
      </c>
      <c r="C649" s="11" t="s">
        <v>707</v>
      </c>
      <c r="D649" s="11" t="s">
        <v>98</v>
      </c>
      <c r="E649" s="11" t="s">
        <v>16</v>
      </c>
      <c r="F649" s="11" t="s">
        <v>531</v>
      </c>
      <c r="G649" s="12" t="s">
        <v>532</v>
      </c>
      <c r="H649" s="12" t="s">
        <v>532</v>
      </c>
      <c r="I649" s="12" t="s">
        <v>532</v>
      </c>
      <c r="J649" s="12" t="s">
        <v>529</v>
      </c>
      <c r="K649" s="12" t="s">
        <v>529</v>
      </c>
      <c r="L649" s="12" t="s">
        <v>531</v>
      </c>
    </row>
    <row r="650" customFormat="false" ht="15" hidden="false" customHeight="false" outlineLevel="0" collapsed="false">
      <c r="A650" s="4" t="n">
        <v>646</v>
      </c>
      <c r="B650" s="11" t="s">
        <v>529</v>
      </c>
      <c r="C650" s="11" t="s">
        <v>708</v>
      </c>
      <c r="D650" s="11" t="s">
        <v>517</v>
      </c>
      <c r="E650" s="11" t="s">
        <v>16</v>
      </c>
      <c r="F650" s="11" t="s">
        <v>531</v>
      </c>
      <c r="G650" s="12" t="s">
        <v>532</v>
      </c>
      <c r="H650" s="12" t="s">
        <v>532</v>
      </c>
      <c r="I650" s="12" t="s">
        <v>532</v>
      </c>
      <c r="J650" s="12" t="s">
        <v>529</v>
      </c>
      <c r="K650" s="12" t="s">
        <v>529</v>
      </c>
      <c r="L650" s="12" t="s">
        <v>531</v>
      </c>
    </row>
    <row r="651" customFormat="false" ht="15" hidden="false" customHeight="false" outlineLevel="0" collapsed="false">
      <c r="A651" s="4" t="n">
        <v>647</v>
      </c>
      <c r="B651" s="11" t="s">
        <v>529</v>
      </c>
      <c r="C651" s="11" t="s">
        <v>709</v>
      </c>
      <c r="D651" s="11" t="s">
        <v>95</v>
      </c>
      <c r="E651" s="11" t="s">
        <v>20</v>
      </c>
      <c r="F651" s="11" t="s">
        <v>531</v>
      </c>
      <c r="G651" s="12" t="s">
        <v>532</v>
      </c>
      <c r="H651" s="12" t="s">
        <v>532</v>
      </c>
      <c r="I651" s="12" t="s">
        <v>532</v>
      </c>
      <c r="J651" s="12" t="s">
        <v>529</v>
      </c>
      <c r="K651" s="12" t="s">
        <v>529</v>
      </c>
      <c r="L651" s="12" t="s">
        <v>531</v>
      </c>
    </row>
    <row r="652" customFormat="false" ht="15" hidden="false" customHeight="false" outlineLevel="0" collapsed="false">
      <c r="A652" s="4" t="n">
        <v>648</v>
      </c>
      <c r="B652" s="11" t="s">
        <v>529</v>
      </c>
      <c r="C652" s="11" t="s">
        <v>710</v>
      </c>
      <c r="D652" s="11" t="s">
        <v>106</v>
      </c>
      <c r="E652" s="11" t="s">
        <v>87</v>
      </c>
      <c r="F652" s="11" t="s">
        <v>531</v>
      </c>
      <c r="G652" s="12" t="s">
        <v>532</v>
      </c>
      <c r="H652" s="12" t="s">
        <v>532</v>
      </c>
      <c r="I652" s="12" t="s">
        <v>532</v>
      </c>
      <c r="J652" s="12" t="s">
        <v>529</v>
      </c>
      <c r="K652" s="12" t="s">
        <v>529</v>
      </c>
      <c r="L652" s="12" t="s">
        <v>531</v>
      </c>
    </row>
    <row r="653" customFormat="false" ht="15" hidden="false" customHeight="false" outlineLevel="0" collapsed="false">
      <c r="A653" s="4" t="n">
        <v>649</v>
      </c>
      <c r="B653" s="11" t="s">
        <v>529</v>
      </c>
      <c r="C653" s="11" t="s">
        <v>711</v>
      </c>
      <c r="D653" s="11" t="s">
        <v>199</v>
      </c>
      <c r="E653" s="11" t="s">
        <v>16</v>
      </c>
      <c r="F653" s="11" t="s">
        <v>531</v>
      </c>
      <c r="G653" s="12" t="s">
        <v>532</v>
      </c>
      <c r="H653" s="12" t="s">
        <v>532</v>
      </c>
      <c r="I653" s="12" t="s">
        <v>532</v>
      </c>
      <c r="J653" s="12" t="s">
        <v>529</v>
      </c>
      <c r="K653" s="12" t="s">
        <v>529</v>
      </c>
      <c r="L653" s="12" t="s">
        <v>531</v>
      </c>
    </row>
    <row r="654" customFormat="false" ht="15" hidden="false" customHeight="false" outlineLevel="0" collapsed="false">
      <c r="A654" s="4" t="n">
        <v>650</v>
      </c>
      <c r="B654" s="11" t="s">
        <v>529</v>
      </c>
      <c r="C654" s="11" t="s">
        <v>712</v>
      </c>
      <c r="D654" s="11" t="s">
        <v>199</v>
      </c>
      <c r="E654" s="11" t="s">
        <v>16</v>
      </c>
      <c r="F654" s="11" t="s">
        <v>531</v>
      </c>
      <c r="G654" s="12" t="s">
        <v>532</v>
      </c>
      <c r="H654" s="12" t="s">
        <v>532</v>
      </c>
      <c r="I654" s="12" t="s">
        <v>532</v>
      </c>
      <c r="J654" s="12" t="s">
        <v>529</v>
      </c>
      <c r="K654" s="12" t="s">
        <v>529</v>
      </c>
      <c r="L654" s="12" t="s">
        <v>531</v>
      </c>
    </row>
  </sheetData>
  <autoFilter ref="A4:L654"/>
  <mergeCells count="2">
    <mergeCell ref="A1:L1"/>
    <mergeCell ref="A2:L2"/>
  </mergeCells>
  <conditionalFormatting sqref="L5:L654">
    <cfRule type="cellIs" priority="2" operator="equal" aboveAverage="0" equalAverage="0" bottom="0" percent="0" rank="0" text="" dxfId="18">
      <formula>"Very High"</formula>
    </cfRule>
    <cfRule type="cellIs" priority="3" operator="equal" aboveAverage="0" equalAverage="0" bottom="0" percent="0" rank="0" text="" dxfId="19">
      <formula>"High"</formula>
    </cfRule>
    <cfRule type="cellIs" priority="4" operator="equal" aboveAverage="0" equalAverage="0" bottom="0" percent="0" rank="0" text="" dxfId="20">
      <formula>"Moderate"</formula>
    </cfRule>
    <cfRule type="cellIs" priority="5" operator="equal" aboveAverage="0" equalAverage="0" bottom="0" percent="0" rank="0" text="" dxfId="21">
      <formula>"Low"</formula>
    </cfRule>
    <cfRule type="cellIs" priority="6" operator="equal" aboveAverage="0" equalAverage="0" bottom="0" percent="0" rank="0" text="" dxfId="22">
      <formula>"Very Low"</formula>
    </cfRule>
    <cfRule type="cellIs" priority="7" operator="equal" aboveAverage="0" equalAverage="0" bottom="0" percent="0" rank="0" text="" dxfId="23">
      <formula>"No Data Available"</formula>
    </cfRule>
  </conditionalFormatting>
  <conditionalFormatting sqref="K5:K654">
    <cfRule type="cellIs" priority="8" operator="greaterThanOrEqual" aboveAverage="0" equalAverage="0" bottom="0" percent="0" rank="0" text="" dxfId="24">
      <formula>0.6</formula>
    </cfRule>
    <cfRule type="cellIs" priority="9" operator="between" aboveAverage="0" equalAverage="0" bottom="0" percent="0" rank="0" text="" dxfId="25">
      <formula>0.4</formula>
      <formula>0.599</formula>
    </cfRule>
    <cfRule type="cellIs" priority="10" operator="between" aboveAverage="0" equalAverage="0" bottom="0" percent="0" rank="0" text="" dxfId="26">
      <formula>0.2</formula>
      <formula>0.399</formula>
    </cfRule>
    <cfRule type="cellIs" priority="11" operator="between" aboveAverage="0" equalAverage="0" bottom="0" percent="0" rank="0" text="" dxfId="21">
      <formula>0.01</formula>
      <formula>0.199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0"/>
    <col collapsed="false" customWidth="true" hidden="false" outlineLevel="0" max="9" min="9" style="0" width="26"/>
  </cols>
  <sheetData>
    <row r="1" customFormat="false" ht="17.35" hidden="false" customHeight="false" outlineLevel="0" collapsed="false">
      <c r="A1" s="1" t="s">
        <v>713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3" t="s">
        <v>5</v>
      </c>
      <c r="B3" s="3" t="s">
        <v>6</v>
      </c>
      <c r="C3" s="3" t="s">
        <v>714</v>
      </c>
      <c r="D3" s="3" t="s">
        <v>715</v>
      </c>
      <c r="E3" s="3" t="s">
        <v>716</v>
      </c>
      <c r="F3" s="3" t="s">
        <v>717</v>
      </c>
      <c r="G3" s="3" t="s">
        <v>718</v>
      </c>
      <c r="H3" s="3" t="s">
        <v>719</v>
      </c>
      <c r="I3" s="3" t="s">
        <v>720</v>
      </c>
    </row>
    <row r="4" customFormat="false" ht="15" hidden="false" customHeight="false" outlineLevel="0" collapsed="false">
      <c r="A4" s="13" t="s">
        <v>486</v>
      </c>
      <c r="B4" s="14" t="s">
        <v>487</v>
      </c>
      <c r="C4" s="15" t="n">
        <f aca="false">COUNTIF('CVI - All Districts'!D5:D654,"Andaman &amp; Nicobar")</f>
        <v>3</v>
      </c>
      <c r="D4" s="15" t="n">
        <f aca="false">COUNTIFS('CVI - All Districts'!D5:D654,"Andaman &amp; Nicobar",'CVI - All Districts'!L5:L654,"&lt;&gt;No Data Available")</f>
        <v>2</v>
      </c>
      <c r="E4" s="15" t="n">
        <f aca="false">C4-D4</f>
        <v>1</v>
      </c>
      <c r="F4" s="16" t="n">
        <f aca="false">IF(C4=0,0,D4/C4)</f>
        <v>0.666666666666667</v>
      </c>
      <c r="G4" s="17" t="n">
        <f aca="false">IFERROR(AVERAGEIFS('CVI - All Districts'!K5:K654,'CVI - All Districts'!D5:D654,"Andaman &amp; Nicobar",'CVI - All Districts'!L5:L654,"&lt;&gt;No Data Available"),0)</f>
        <v>0</v>
      </c>
      <c r="H4" s="17" t="n">
        <f aca="false">IFERROR(maxifs('CVI - All Districts'!K5:K654,'CVI - All Districts'!D5:D654,"Andaman &amp; Nicobar"),0)</f>
        <v>0</v>
      </c>
      <c r="I4" s="15" t="str">
        <f aca="false">IFERROR(INDEX('CVI - All Districts'!C5:C654,MATCH(maxifs('CVI - All Districts'!K5:K654,'CVI - All Districts'!D5:D654,"Andaman &amp; Nicobar"),'CVI - All Districts'!K5:K654,0)),"—")</f>
        <v>—</v>
      </c>
    </row>
    <row r="5" customFormat="false" ht="15" hidden="false" customHeight="false" outlineLevel="0" collapsed="false">
      <c r="A5" s="13" t="s">
        <v>33</v>
      </c>
      <c r="B5" s="14" t="s">
        <v>24</v>
      </c>
      <c r="C5" s="15" t="n">
        <f aca="false">COUNTIF('CVI - All Districts'!D5:D654,"Andhra Pradesh")</f>
        <v>13</v>
      </c>
      <c r="D5" s="15" t="n">
        <f aca="false">COUNTIFS('CVI - All Districts'!D5:D654,"Andhra Pradesh",'CVI - All Districts'!L5:L654,"&lt;&gt;No Data Available")</f>
        <v>13</v>
      </c>
      <c r="E5" s="15" t="n">
        <f aca="false">C5-D5</f>
        <v>0</v>
      </c>
      <c r="F5" s="16" t="n">
        <f aca="false">IF(C5=0,0,D5/C5)</f>
        <v>1</v>
      </c>
      <c r="G5" s="17" t="n">
        <f aca="false">IFERROR(AVERAGEIFS('CVI - All Districts'!K5:K654,'CVI - All Districts'!D5:D654,"Andhra Pradesh",'CVI - All Districts'!L5:L654,"&lt;&gt;No Data Available"),0)</f>
        <v>0.452596900961602</v>
      </c>
      <c r="H5" s="17" t="n">
        <f aca="false">IFERROR(maxifs('CVI - All Districts'!K5:K654,'CVI - All Districts'!D5:D654,"Andhra Pradesh"),0)</f>
        <v>0</v>
      </c>
      <c r="I5" s="15" t="str">
        <f aca="false">IFERROR(INDEX('CVI - All Districts'!C5:C654,MATCH(maxifs('CVI - All Districts'!K5:K654,'CVI - All Districts'!D5:D654,"Andhra Pradesh"),'CVI - All Districts'!K5:K654,0)),"—")</f>
        <v>—</v>
      </c>
    </row>
    <row r="6" customFormat="false" ht="15" hidden="false" customHeight="false" outlineLevel="0" collapsed="false">
      <c r="A6" s="13" t="s">
        <v>98</v>
      </c>
      <c r="B6" s="14" t="s">
        <v>16</v>
      </c>
      <c r="C6" s="15" t="n">
        <f aca="false">COUNTIF('CVI - All Districts'!D5:D654,"Arunachal Pradesh")</f>
        <v>16</v>
      </c>
      <c r="D6" s="15" t="n">
        <f aca="false">COUNTIFS('CVI - All Districts'!D5:D654,"Arunachal Pradesh",'CVI - All Districts'!L5:L654,"&lt;&gt;No Data Available")</f>
        <v>4</v>
      </c>
      <c r="E6" s="15" t="n">
        <f aca="false">C6-D6</f>
        <v>12</v>
      </c>
      <c r="F6" s="16" t="n">
        <f aca="false">IF(C6=0,0,D6/C6)</f>
        <v>0.25</v>
      </c>
      <c r="G6" s="17" t="n">
        <f aca="false">IFERROR(AVERAGEIFS('CVI - All Districts'!K5:K654,'CVI - All Districts'!D5:D654,"Arunachal Pradesh",'CVI - All Districts'!L5:L654,"&lt;&gt;No Data Available"),0)</f>
        <v>0.500437846203975</v>
      </c>
      <c r="H6" s="17" t="n">
        <f aca="false">IFERROR(maxifs('CVI - All Districts'!K5:K654,'CVI - All Districts'!D5:D654,"Arunachal Pradesh"),0)</f>
        <v>0</v>
      </c>
      <c r="I6" s="15" t="str">
        <f aca="false">IFERROR(INDEX('CVI - All Districts'!C5:C654,MATCH(maxifs('CVI - All Districts'!K5:K654,'CVI - All Districts'!D5:D654,"Arunachal Pradesh"),'CVI - All Districts'!K5:K654,0)),"—")</f>
        <v>—</v>
      </c>
    </row>
    <row r="7" customFormat="false" ht="15" hidden="false" customHeight="false" outlineLevel="0" collapsed="false">
      <c r="A7" s="13" t="s">
        <v>15</v>
      </c>
      <c r="B7" s="14" t="s">
        <v>16</v>
      </c>
      <c r="C7" s="15" t="n">
        <f aca="false">COUNTIF('CVI - All Districts'!D5:D654,"Assam")</f>
        <v>27</v>
      </c>
      <c r="D7" s="15" t="n">
        <f aca="false">COUNTIFS('CVI - All Districts'!D5:D654,"Assam",'CVI - All Districts'!L5:L654,"&lt;&gt;No Data Available")</f>
        <v>23</v>
      </c>
      <c r="E7" s="15" t="n">
        <f aca="false">C7-D7</f>
        <v>4</v>
      </c>
      <c r="F7" s="16" t="n">
        <f aca="false">IF(C7=0,0,D7/C7)</f>
        <v>0.851851851851852</v>
      </c>
      <c r="G7" s="17" t="n">
        <f aca="false">IFERROR(AVERAGEIFS('CVI - All Districts'!K5:K654,'CVI - All Districts'!D5:D654,"Assam",'CVI - All Districts'!L5:L654,"&lt;&gt;No Data Available"),0)</f>
        <v>0.587282779554535</v>
      </c>
      <c r="H7" s="17" t="n">
        <f aca="false">IFERROR(maxifs('CVI - All Districts'!K5:K654,'CVI - All Districts'!D5:D654,"Assam"),0)</f>
        <v>0</v>
      </c>
      <c r="I7" s="15" t="str">
        <f aca="false">IFERROR(INDEX('CVI - All Districts'!C5:C654,MATCH(maxifs('CVI - All Districts'!K5:K654,'CVI - All Districts'!D5:D654,"Assam"),'CVI - All Districts'!K5:K654,0)),"—")</f>
        <v>—</v>
      </c>
    </row>
    <row r="8" customFormat="false" ht="15" hidden="false" customHeight="false" outlineLevel="0" collapsed="false">
      <c r="A8" s="13" t="s">
        <v>40</v>
      </c>
      <c r="B8" s="14" t="s">
        <v>20</v>
      </c>
      <c r="C8" s="15" t="n">
        <f aca="false">COUNTIF('CVI - All Districts'!D5:D654,"Bihar")</f>
        <v>39</v>
      </c>
      <c r="D8" s="15" t="n">
        <f aca="false">COUNTIFS('CVI - All Districts'!D5:D654,"Bihar",'CVI - All Districts'!L5:L654,"&lt;&gt;No Data Available")</f>
        <v>38</v>
      </c>
      <c r="E8" s="15" t="n">
        <f aca="false">C8-D8</f>
        <v>1</v>
      </c>
      <c r="F8" s="16" t="n">
        <f aca="false">IF(C8=0,0,D8/C8)</f>
        <v>0.974358974358974</v>
      </c>
      <c r="G8" s="17" t="n">
        <f aca="false">IFERROR(AVERAGEIFS('CVI - All Districts'!K5:K654,'CVI - All Districts'!D5:D654,"Bihar",'CVI - All Districts'!L5:L654,"&lt;&gt;No Data Available"),0)</f>
        <v>0.391344418053531</v>
      </c>
      <c r="H8" s="17" t="n">
        <f aca="false">IFERROR(maxifs('CVI - All Districts'!K5:K654,'CVI - All Districts'!D5:D654,"Bihar"),0)</f>
        <v>0</v>
      </c>
      <c r="I8" s="15" t="str">
        <f aca="false">IFERROR(INDEX('CVI - All Districts'!C5:C654,MATCH(maxifs('CVI - All Districts'!K5:K654,'CVI - All Districts'!D5:D654,"Bihar"),'CVI - All Districts'!K5:K654,0)),"—")</f>
        <v>—</v>
      </c>
    </row>
    <row r="9" customFormat="false" ht="15" hidden="false" customHeight="false" outlineLevel="0" collapsed="false">
      <c r="A9" s="13" t="s">
        <v>420</v>
      </c>
      <c r="B9" s="14" t="s">
        <v>60</v>
      </c>
      <c r="C9" s="15" t="n">
        <f aca="false">COUNTIF('CVI - All Districts'!D5:D654,"Chandigarh")</f>
        <v>1</v>
      </c>
      <c r="D9" s="15" t="n">
        <f aca="false">COUNTIFS('CVI - All Districts'!D5:D654,"Chandigarh",'CVI - All Districts'!L5:L654,"&lt;&gt;No Data Available")</f>
        <v>1</v>
      </c>
      <c r="E9" s="15" t="n">
        <f aca="false">C9-D9</f>
        <v>0</v>
      </c>
      <c r="F9" s="16" t="n">
        <f aca="false">IF(C9=0,0,D9/C9)</f>
        <v>1</v>
      </c>
      <c r="G9" s="17" t="n">
        <f aca="false">IFERROR(AVERAGEIFS('CVI - All Districts'!K5:K654,'CVI - All Districts'!D5:D654,"Chandigarh",'CVI - All Districts'!L5:L654,"&lt;&gt;No Data Available"),0)</f>
        <v>0</v>
      </c>
      <c r="H9" s="17" t="n">
        <f aca="false">IFERROR(maxifs('CVI - All Districts'!K5:K654,'CVI - All Districts'!D5:D654,"Chandigarh"),0)</f>
        <v>0</v>
      </c>
      <c r="I9" s="15" t="str">
        <f aca="false">IFERROR(INDEX('CVI - All Districts'!C5:C654,MATCH(maxifs('CVI - All Districts'!K5:K654,'CVI - All Districts'!D5:D654,"Chandigarh"),'CVI - All Districts'!K5:K654,0)),"—")</f>
        <v>—</v>
      </c>
    </row>
    <row r="10" customFormat="false" ht="15" hidden="false" customHeight="false" outlineLevel="0" collapsed="false">
      <c r="A10" s="13" t="s">
        <v>86</v>
      </c>
      <c r="B10" s="14" t="s">
        <v>87</v>
      </c>
      <c r="C10" s="15" t="n">
        <f aca="false">COUNTIF('CVI - All Districts'!D5:D654,"Chhattisgarh")</f>
        <v>18</v>
      </c>
      <c r="D10" s="15" t="n">
        <f aca="false">COUNTIFS('CVI - All Districts'!D5:D654,"Chhattisgarh",'CVI - All Districts'!L5:L654,"&lt;&gt;No Data Available")</f>
        <v>13</v>
      </c>
      <c r="E10" s="15" t="n">
        <f aca="false">C10-D10</f>
        <v>5</v>
      </c>
      <c r="F10" s="16" t="n">
        <f aca="false">IF(C10=0,0,D10/C10)</f>
        <v>0.722222222222222</v>
      </c>
      <c r="G10" s="17" t="n">
        <f aca="false">IFERROR(AVERAGEIFS('CVI - All Districts'!K5:K654,'CVI - All Districts'!D5:D654,"Chhattisgarh",'CVI - All Districts'!L5:L654,"&lt;&gt;No Data Available"),0)</f>
        <v>0.0676404595777496</v>
      </c>
      <c r="H10" s="17" t="n">
        <f aca="false">IFERROR(maxifs('CVI - All Districts'!K5:K654,'CVI - All Districts'!D5:D654,"Chhattisgarh"),0)</f>
        <v>0</v>
      </c>
      <c r="I10" s="15" t="str">
        <f aca="false">IFERROR(INDEX('CVI - All Districts'!C5:C654,MATCH(maxifs('CVI - All Districts'!K5:K654,'CVI - All Districts'!D5:D654,"Chhattisgarh"),'CVI - All Districts'!K5:K654,0)),"—")</f>
        <v>—</v>
      </c>
    </row>
    <row r="11" customFormat="false" ht="15" hidden="false" customHeight="false" outlineLevel="0" collapsed="false">
      <c r="A11" s="13" t="s">
        <v>559</v>
      </c>
      <c r="B11" s="14" t="s">
        <v>30</v>
      </c>
      <c r="C11" s="15" t="n">
        <f aca="false">COUNTIF('CVI - All Districts'!D5:D654,"Dadra &amp; Nagar Haveli")</f>
        <v>1</v>
      </c>
      <c r="D11" s="15" t="n">
        <f aca="false">COUNTIFS('CVI - All Districts'!D5:D654,"Dadra &amp; Nagar Haveli",'CVI - All Districts'!L5:L654,"&lt;&gt;No Data Available")</f>
        <v>0</v>
      </c>
      <c r="E11" s="15" t="n">
        <f aca="false">C11-D11</f>
        <v>1</v>
      </c>
      <c r="F11" s="16" t="n">
        <f aca="false">IF(C11=0,0,D11/C11)</f>
        <v>0</v>
      </c>
      <c r="G11" s="17" t="n">
        <f aca="false">IFERROR(AVERAGEIFS('CVI - All Districts'!K5:K654,'CVI - All Districts'!D5:D654,"Dadra &amp; Nagar Haveli",'CVI - All Districts'!L5:L654,"&lt;&gt;No Data Available"),0)</f>
        <v>0</v>
      </c>
      <c r="H11" s="17" t="n">
        <f aca="false">IFERROR(maxifs('CVI - All Districts'!K5:K654,'CVI - All Districts'!D5:D654,"Dadra &amp; Nagar Haveli"),0)</f>
        <v>0</v>
      </c>
      <c r="I11" s="15" t="str">
        <f aca="false">IFERROR(INDEX('CVI - All Districts'!C5:C654,MATCH(maxifs('CVI - All Districts'!K5:K654,'CVI - All Districts'!D5:D654,"Dadra &amp; Nagar Haveli"),'CVI - All Districts'!K5:K654,0)),"—")</f>
        <v>—</v>
      </c>
    </row>
    <row r="12" customFormat="false" ht="15" hidden="false" customHeight="false" outlineLevel="0" collapsed="false">
      <c r="A12" s="13" t="s">
        <v>563</v>
      </c>
      <c r="B12" s="14" t="s">
        <v>30</v>
      </c>
      <c r="C12" s="15" t="n">
        <f aca="false">COUNTIF('CVI - All Districts'!D5:D654,"Daman &amp; Diu")</f>
        <v>2</v>
      </c>
      <c r="D12" s="15" t="n">
        <f aca="false">COUNTIFS('CVI - All Districts'!D5:D654,"Daman &amp; Diu",'CVI - All Districts'!L5:L654,"&lt;&gt;No Data Available")</f>
        <v>0</v>
      </c>
      <c r="E12" s="15" t="n">
        <f aca="false">C12-D12</f>
        <v>2</v>
      </c>
      <c r="F12" s="16" t="n">
        <f aca="false">IF(C12=0,0,D12/C12)</f>
        <v>0</v>
      </c>
      <c r="G12" s="17" t="n">
        <f aca="false">IFERROR(AVERAGEIFS('CVI - All Districts'!K5:K654,'CVI - All Districts'!D5:D654,"Daman &amp; Diu",'CVI - All Districts'!L5:L654,"&lt;&gt;No Data Available"),0)</f>
        <v>0</v>
      </c>
      <c r="H12" s="17" t="n">
        <f aca="false">IFERROR(maxifs('CVI - All Districts'!K5:K654,'CVI - All Districts'!D5:D654,"Daman &amp; Diu"),0)</f>
        <v>0</v>
      </c>
      <c r="I12" s="15" t="str">
        <f aca="false">IFERROR(INDEX('CVI - All Districts'!C5:C654,MATCH(maxifs('CVI - All Districts'!K5:K654,'CVI - All Districts'!D5:D654,"Daman &amp; Diu"),'CVI - All Districts'!K5:K654,0)),"—")</f>
        <v>—</v>
      </c>
    </row>
    <row r="13" customFormat="false" ht="15" hidden="false" customHeight="false" outlineLevel="0" collapsed="false">
      <c r="A13" s="13" t="s">
        <v>490</v>
      </c>
      <c r="B13" s="14" t="s">
        <v>30</v>
      </c>
      <c r="C13" s="15" t="n">
        <f aca="false">COUNTIF('CVI - All Districts'!D5:D654,"Goa")</f>
        <v>2</v>
      </c>
      <c r="D13" s="15" t="n">
        <f aca="false">COUNTIFS('CVI - All Districts'!D5:D654,"Goa",'CVI - All Districts'!L5:L654,"&lt;&gt;No Data Available")</f>
        <v>2</v>
      </c>
      <c r="E13" s="15" t="n">
        <f aca="false">C13-D13</f>
        <v>0</v>
      </c>
      <c r="F13" s="16" t="n">
        <f aca="false">IF(C13=0,0,D13/C13)</f>
        <v>1</v>
      </c>
      <c r="G13" s="17" t="n">
        <f aca="false">IFERROR(AVERAGEIFS('CVI - All Districts'!K5:K654,'CVI - All Districts'!D5:D654,"Goa",'CVI - All Districts'!L5:L654,"&lt;&gt;No Data Available"),0)</f>
        <v>0</v>
      </c>
      <c r="H13" s="17" t="n">
        <f aca="false">IFERROR(maxifs('CVI - All Districts'!K5:K654,'CVI - All Districts'!D5:D654,"Goa"),0)</f>
        <v>0</v>
      </c>
      <c r="I13" s="15" t="str">
        <f aca="false">IFERROR(INDEX('CVI - All Districts'!C5:C654,MATCH(maxifs('CVI - All Districts'!K5:K654,'CVI - All Districts'!D5:D654,"Goa"),'CVI - All Districts'!K5:K654,0)),"—")</f>
        <v>—</v>
      </c>
    </row>
    <row r="14" customFormat="false" ht="15" hidden="false" customHeight="false" outlineLevel="0" collapsed="false">
      <c r="A14" s="13" t="s">
        <v>108</v>
      </c>
      <c r="B14" s="14" t="s">
        <v>30</v>
      </c>
      <c r="C14" s="15" t="n">
        <f aca="false">COUNTIF('CVI - All Districts'!D5:D654,"Gujarat")</f>
        <v>26</v>
      </c>
      <c r="D14" s="15" t="n">
        <f aca="false">COUNTIFS('CVI - All Districts'!D5:D654,"Gujarat",'CVI - All Districts'!L5:L654,"&lt;&gt;No Data Available")</f>
        <v>21</v>
      </c>
      <c r="E14" s="15" t="n">
        <f aca="false">C14-D14</f>
        <v>5</v>
      </c>
      <c r="F14" s="16" t="n">
        <f aca="false">IF(C14=0,0,D14/C14)</f>
        <v>0.807692307692308</v>
      </c>
      <c r="G14" s="17" t="n">
        <f aca="false">IFERROR(AVERAGEIFS('CVI - All Districts'!K5:K654,'CVI - All Districts'!D5:D654,"Gujarat",'CVI - All Districts'!L5:L654,"&lt;&gt;No Data Available"),0)</f>
        <v>0.196741036658961</v>
      </c>
      <c r="H14" s="17" t="n">
        <f aca="false">IFERROR(maxifs('CVI - All Districts'!K5:K654,'CVI - All Districts'!D5:D654,"Gujarat"),0)</f>
        <v>0</v>
      </c>
      <c r="I14" s="15" t="str">
        <f aca="false">IFERROR(INDEX('CVI - All Districts'!C5:C654,MATCH(maxifs('CVI - All Districts'!K5:K654,'CVI - All Districts'!D5:D654,"Gujarat"),'CVI - All Districts'!K5:K654,0)),"—")</f>
        <v>—</v>
      </c>
    </row>
    <row r="15" customFormat="false" ht="15" hidden="false" customHeight="false" outlineLevel="0" collapsed="false">
      <c r="A15" s="13" t="s">
        <v>74</v>
      </c>
      <c r="B15" s="14" t="s">
        <v>60</v>
      </c>
      <c r="C15" s="15" t="n">
        <f aca="false">COUNTIF('CVI - All Districts'!D5:D654,"Haryana")</f>
        <v>21</v>
      </c>
      <c r="D15" s="15" t="n">
        <f aca="false">COUNTIFS('CVI - All Districts'!D5:D654,"Haryana",'CVI - All Districts'!L5:L654,"&lt;&gt;No Data Available")</f>
        <v>10</v>
      </c>
      <c r="E15" s="15" t="n">
        <f aca="false">C15-D15</f>
        <v>11</v>
      </c>
      <c r="F15" s="16" t="n">
        <f aca="false">IF(C15=0,0,D15/C15)</f>
        <v>0.476190476190476</v>
      </c>
      <c r="G15" s="17" t="n">
        <f aca="false">IFERROR(AVERAGEIFS('CVI - All Districts'!K5:K654,'CVI - All Districts'!D5:D654,"Haryana",'CVI - All Districts'!L5:L654,"&lt;&gt;No Data Available"),0)</f>
        <v>0.0850042098710829</v>
      </c>
      <c r="H15" s="17" t="n">
        <f aca="false">IFERROR(maxifs('CVI - All Districts'!K5:K654,'CVI - All Districts'!D5:D654,"Haryana"),0)</f>
        <v>0</v>
      </c>
      <c r="I15" s="15" t="str">
        <f aca="false">IFERROR(INDEX('CVI - All Districts'!C5:C654,MATCH(maxifs('CVI - All Districts'!K5:K654,'CVI - All Districts'!D5:D654,"Haryana"),'CVI - All Districts'!K5:K654,0)),"—")</f>
        <v>—</v>
      </c>
    </row>
    <row r="16" customFormat="false" ht="15" hidden="false" customHeight="false" outlineLevel="0" collapsed="false">
      <c r="A16" s="13" t="s">
        <v>162</v>
      </c>
      <c r="B16" s="14" t="s">
        <v>60</v>
      </c>
      <c r="C16" s="15" t="n">
        <f aca="false">COUNTIF('CVI - All Districts'!D5:D654,"Himachal Pradesh")</f>
        <v>12</v>
      </c>
      <c r="D16" s="15" t="n">
        <f aca="false">COUNTIFS('CVI - All Districts'!D5:D654,"Himachal Pradesh",'CVI - All Districts'!L5:L654,"&lt;&gt;No Data Available")</f>
        <v>8</v>
      </c>
      <c r="E16" s="15" t="n">
        <f aca="false">C16-D16</f>
        <v>4</v>
      </c>
      <c r="F16" s="16" t="n">
        <f aca="false">IF(C16=0,0,D16/C16)</f>
        <v>0.666666666666667</v>
      </c>
      <c r="G16" s="17" t="n">
        <f aca="false">IFERROR(AVERAGEIFS('CVI - All Districts'!K5:K654,'CVI - All Districts'!D5:D654,"Himachal Pradesh",'CVI - All Districts'!L5:L654,"&lt;&gt;No Data Available"),0)</f>
        <v>0.297725706677352</v>
      </c>
      <c r="H16" s="17" t="n">
        <f aca="false">IFERROR(maxifs('CVI - All Districts'!K5:K654,'CVI - All Districts'!D5:D654,"Himachal Pradesh"),0)</f>
        <v>0</v>
      </c>
      <c r="I16" s="15" t="str">
        <f aca="false">IFERROR(INDEX('CVI - All Districts'!C5:C654,MATCH(maxifs('CVI - All Districts'!K5:K654,'CVI - All Districts'!D5:D654,"Himachal Pradesh"),'CVI - All Districts'!K5:K654,0)),"—")</f>
        <v>—</v>
      </c>
    </row>
    <row r="17" customFormat="false" ht="15" hidden="false" customHeight="false" outlineLevel="0" collapsed="false">
      <c r="A17" s="13" t="s">
        <v>79</v>
      </c>
      <c r="B17" s="14" t="s">
        <v>60</v>
      </c>
      <c r="C17" s="15" t="n">
        <f aca="false">COUNTIF('CVI - All Districts'!D5:D654,"Jammu &amp; Kashmir")</f>
        <v>22</v>
      </c>
      <c r="D17" s="15" t="n">
        <f aca="false">COUNTIFS('CVI - All Districts'!D5:D654,"Jammu &amp; Kashmir",'CVI - All Districts'!L5:L654,"&lt;&gt;No Data Available")</f>
        <v>9</v>
      </c>
      <c r="E17" s="15" t="n">
        <f aca="false">C17-D17</f>
        <v>13</v>
      </c>
      <c r="F17" s="16" t="n">
        <f aca="false">IF(C17=0,0,D17/C17)</f>
        <v>0.409090909090909</v>
      </c>
      <c r="G17" s="17" t="n">
        <f aca="false">IFERROR(AVERAGEIFS('CVI - All Districts'!K5:K654,'CVI - All Districts'!D5:D654,"Jammu &amp; Kashmir",'CVI - All Districts'!L5:L654,"&lt;&gt;No Data Available"),0)</f>
        <v>0.299404178435715</v>
      </c>
      <c r="H17" s="17" t="n">
        <f aca="false">IFERROR(maxifs('CVI - All Districts'!K5:K654,'CVI - All Districts'!D5:D654,"Jammu &amp; Kashmir"),0)</f>
        <v>0</v>
      </c>
      <c r="I17" s="15" t="str">
        <f aca="false">IFERROR(INDEX('CVI - All Districts'!C5:C654,MATCH(maxifs('CVI - All Districts'!K5:K654,'CVI - All Districts'!D5:D654,"Jammu &amp; Kashmir"),'CVI - All Districts'!K5:K654,0)),"—")</f>
        <v>—</v>
      </c>
    </row>
    <row r="18" customFormat="false" ht="15" hidden="false" customHeight="false" outlineLevel="0" collapsed="false">
      <c r="A18" s="13" t="s">
        <v>279</v>
      </c>
      <c r="B18" s="14" t="s">
        <v>20</v>
      </c>
      <c r="C18" s="15" t="n">
        <f aca="false">COUNTIF('CVI - All Districts'!D5:D654,"Jharkhand")</f>
        <v>24</v>
      </c>
      <c r="D18" s="15" t="n">
        <f aca="false">COUNTIFS('CVI - All Districts'!D5:D654,"Jharkhand",'CVI - All Districts'!L5:L654,"&lt;&gt;No Data Available")</f>
        <v>19</v>
      </c>
      <c r="E18" s="15" t="n">
        <f aca="false">C18-D18</f>
        <v>5</v>
      </c>
      <c r="F18" s="16" t="n">
        <f aca="false">IF(C18=0,0,D18/C18)</f>
        <v>0.791666666666667</v>
      </c>
      <c r="G18" s="17" t="n">
        <f aca="false">IFERROR(AVERAGEIFS('CVI - All Districts'!K5:K654,'CVI - All Districts'!D5:D654,"Jharkhand",'CVI - All Districts'!L5:L654,"&lt;&gt;No Data Available"),0)</f>
        <v>0.0241278662494746</v>
      </c>
      <c r="H18" s="17" t="n">
        <f aca="false">IFERROR(maxifs('CVI - All Districts'!K5:K654,'CVI - All Districts'!D5:D654,"Jharkhand"),0)</f>
        <v>0</v>
      </c>
      <c r="I18" s="15" t="str">
        <f aca="false">IFERROR(INDEX('CVI - All Districts'!C5:C654,MATCH(maxifs('CVI - All Districts'!K5:K654,'CVI - All Districts'!D5:D654,"Jharkhand"),'CVI - All Districts'!K5:K654,0)),"—")</f>
        <v>—</v>
      </c>
    </row>
    <row r="19" customFormat="false" ht="15" hidden="false" customHeight="false" outlineLevel="0" collapsed="false">
      <c r="A19" s="13" t="s">
        <v>83</v>
      </c>
      <c r="B19" s="14" t="s">
        <v>24</v>
      </c>
      <c r="C19" s="15" t="n">
        <f aca="false">COUNTIF('CVI - All Districts'!D5:D654,"Karnataka")</f>
        <v>29</v>
      </c>
      <c r="D19" s="15" t="n">
        <f aca="false">COUNTIFS('CVI - All Districts'!D5:D654,"Karnataka",'CVI - All Districts'!L5:L654,"&lt;&gt;No Data Available")</f>
        <v>29</v>
      </c>
      <c r="E19" s="15" t="n">
        <f aca="false">C19-D19</f>
        <v>0</v>
      </c>
      <c r="F19" s="16" t="n">
        <f aca="false">IF(C19=0,0,D19/C19)</f>
        <v>1</v>
      </c>
      <c r="G19" s="17" t="n">
        <f aca="false">IFERROR(AVERAGEIFS('CVI - All Districts'!K5:K654,'CVI - All Districts'!D5:D654,"Karnataka",'CVI - All Districts'!L5:L654,"&lt;&gt;No Data Available"),0)</f>
        <v>0.266764518243502</v>
      </c>
      <c r="H19" s="17" t="n">
        <f aca="false">IFERROR(maxifs('CVI - All Districts'!K5:K654,'CVI - All Districts'!D5:D654,"Karnataka"),0)</f>
        <v>0</v>
      </c>
      <c r="I19" s="15" t="str">
        <f aca="false">IFERROR(INDEX('CVI - All Districts'!C5:C654,MATCH(maxifs('CVI - All Districts'!K5:K654,'CVI - All Districts'!D5:D654,"Karnataka"),'CVI - All Districts'!K5:K654,0)),"—")</f>
        <v>—</v>
      </c>
    </row>
    <row r="20" customFormat="false" ht="15" hidden="false" customHeight="false" outlineLevel="0" collapsed="false">
      <c r="A20" s="13" t="s">
        <v>93</v>
      </c>
      <c r="B20" s="14" t="s">
        <v>24</v>
      </c>
      <c r="C20" s="15" t="n">
        <f aca="false">COUNTIF('CVI - All Districts'!D5:D654,"Kerala")</f>
        <v>14</v>
      </c>
      <c r="D20" s="15" t="n">
        <f aca="false">COUNTIFS('CVI - All Districts'!D5:D654,"Kerala",'CVI - All Districts'!L5:L654,"&lt;&gt;No Data Available")</f>
        <v>14</v>
      </c>
      <c r="E20" s="15" t="n">
        <f aca="false">C20-D20</f>
        <v>0</v>
      </c>
      <c r="F20" s="16" t="n">
        <f aca="false">IF(C20=0,0,D20/C20)</f>
        <v>1</v>
      </c>
      <c r="G20" s="17" t="n">
        <f aca="false">IFERROR(AVERAGEIFS('CVI - All Districts'!K5:K654,'CVI - All Districts'!D5:D654,"Kerala",'CVI - All Districts'!L5:L654,"&lt;&gt;No Data Available"),0)</f>
        <v>0.204318483613182</v>
      </c>
      <c r="H20" s="17" t="n">
        <f aca="false">IFERROR(maxifs('CVI - All Districts'!K5:K654,'CVI - All Districts'!D5:D654,"Kerala"),0)</f>
        <v>0</v>
      </c>
      <c r="I20" s="15" t="str">
        <f aca="false">IFERROR(INDEX('CVI - All Districts'!C5:C654,MATCH(maxifs('CVI - All Districts'!K5:K654,'CVI - All Districts'!D5:D654,"Kerala"),'CVI - All Districts'!K5:K654,0)),"—")</f>
        <v>—</v>
      </c>
    </row>
    <row r="21" customFormat="false" ht="15" hidden="false" customHeight="false" outlineLevel="0" collapsed="false">
      <c r="A21" s="13" t="s">
        <v>614</v>
      </c>
      <c r="B21" s="14" t="s">
        <v>487</v>
      </c>
      <c r="C21" s="15" t="n">
        <f aca="false">COUNTIF('CVI - All Districts'!D5:D654,"Lakshadweep")</f>
        <v>1</v>
      </c>
      <c r="D21" s="15" t="n">
        <f aca="false">COUNTIFS('CVI - All Districts'!D5:D654,"Lakshadweep",'CVI - All Districts'!L5:L654,"&lt;&gt;No Data Available")</f>
        <v>0</v>
      </c>
      <c r="E21" s="15" t="n">
        <f aca="false">C21-D21</f>
        <v>1</v>
      </c>
      <c r="F21" s="16" t="n">
        <f aca="false">IF(C21=0,0,D21/C21)</f>
        <v>0</v>
      </c>
      <c r="G21" s="17" t="n">
        <f aca="false">IFERROR(AVERAGEIFS('CVI - All Districts'!K5:K654,'CVI - All Districts'!D5:D654,"Lakshadweep",'CVI - All Districts'!L5:L654,"&lt;&gt;No Data Available"),0)</f>
        <v>0</v>
      </c>
      <c r="H21" s="17" t="n">
        <f aca="false">IFERROR(maxifs('CVI - All Districts'!K5:K654,'CVI - All Districts'!D5:D654,"Lakshadweep"),0)</f>
        <v>0</v>
      </c>
      <c r="I21" s="15" t="str">
        <f aca="false">IFERROR(INDEX('CVI - All Districts'!C5:C654,MATCH(maxifs('CVI - All Districts'!K5:K654,'CVI - All Districts'!D5:D654,"Lakshadweep"),'CVI - All Districts'!K5:K654,0)),"—")</f>
        <v>—</v>
      </c>
    </row>
    <row r="22" customFormat="false" ht="15" hidden="false" customHeight="false" outlineLevel="0" collapsed="false">
      <c r="A22" s="13" t="s">
        <v>106</v>
      </c>
      <c r="B22" s="14" t="s">
        <v>87</v>
      </c>
      <c r="C22" s="15" t="n">
        <f aca="false">COUNTIF('CVI - All Districts'!D5:D654,"Madhya Pradesh")</f>
        <v>50</v>
      </c>
      <c r="D22" s="15" t="n">
        <f aca="false">COUNTIFS('CVI - All Districts'!D5:D654,"Madhya Pradesh",'CVI - All Districts'!L5:L654,"&lt;&gt;No Data Available")</f>
        <v>37</v>
      </c>
      <c r="E22" s="15" t="n">
        <f aca="false">C22-D22</f>
        <v>13</v>
      </c>
      <c r="F22" s="16" t="n">
        <f aca="false">IF(C22=0,0,D22/C22)</f>
        <v>0.74</v>
      </c>
      <c r="G22" s="17" t="n">
        <f aca="false">IFERROR(AVERAGEIFS('CVI - All Districts'!K5:K654,'CVI - All Districts'!D5:D654,"Madhya Pradesh",'CVI - All Districts'!L5:L654,"&lt;&gt;No Data Available"),0)</f>
        <v>0.114131540672485</v>
      </c>
      <c r="H22" s="17" t="n">
        <f aca="false">IFERROR(maxifs('CVI - All Districts'!K5:K654,'CVI - All Districts'!D5:D654,"Madhya Pradesh"),0)</f>
        <v>0</v>
      </c>
      <c r="I22" s="15" t="str">
        <f aca="false">IFERROR(INDEX('CVI - All Districts'!C5:C654,MATCH(maxifs('CVI - All Districts'!K5:K654,'CVI - All Districts'!D5:D654,"Madhya Pradesh"),'CVI - All Districts'!K5:K654,0)),"—")</f>
        <v>—</v>
      </c>
    </row>
    <row r="23" customFormat="false" ht="15" hidden="false" customHeight="false" outlineLevel="0" collapsed="false">
      <c r="A23" s="13" t="s">
        <v>29</v>
      </c>
      <c r="B23" s="14" t="s">
        <v>30</v>
      </c>
      <c r="C23" s="15" t="n">
        <f aca="false">COUNTIF('CVI - All Districts'!D5:D654,"Maharashtra")</f>
        <v>36</v>
      </c>
      <c r="D23" s="15" t="n">
        <f aca="false">COUNTIFS('CVI - All Districts'!D5:D654,"Maharashtra",'CVI - All Districts'!L5:L654,"&lt;&gt;No Data Available")</f>
        <v>33</v>
      </c>
      <c r="E23" s="15" t="n">
        <f aca="false">C23-D23</f>
        <v>3</v>
      </c>
      <c r="F23" s="16" t="n">
        <f aca="false">IF(C23=0,0,D23/C23)</f>
        <v>0.916666666666667</v>
      </c>
      <c r="G23" s="17" t="n">
        <f aca="false">IFERROR(AVERAGEIFS('CVI - All Districts'!K5:K654,'CVI - All Districts'!D5:D654,"Maharashtra",'CVI - All Districts'!L5:L654,"&lt;&gt;No Data Available"),0)</f>
        <v>0.31918151316719</v>
      </c>
      <c r="H23" s="17" t="n">
        <f aca="false">IFERROR(maxifs('CVI - All Districts'!K5:K654,'CVI - All Districts'!D5:D654,"Maharashtra"),0)</f>
        <v>0</v>
      </c>
      <c r="I23" s="15" t="str">
        <f aca="false">IFERROR(INDEX('CVI - All Districts'!C5:C654,MATCH(maxifs('CVI - All Districts'!K5:K654,'CVI - All Districts'!D5:D654,"Maharashtra"),'CVI - All Districts'!K5:K654,0)),"—")</f>
        <v>—</v>
      </c>
    </row>
    <row r="24" customFormat="false" ht="15" hidden="false" customHeight="false" outlineLevel="0" collapsed="false">
      <c r="A24" s="13" t="s">
        <v>38</v>
      </c>
      <c r="B24" s="14" t="s">
        <v>16</v>
      </c>
      <c r="C24" s="15" t="n">
        <f aca="false">COUNTIF('CVI - All Districts'!D5:D654,"Manipur")</f>
        <v>9</v>
      </c>
      <c r="D24" s="15" t="n">
        <f aca="false">COUNTIFS('CVI - All Districts'!D5:D654,"Manipur",'CVI - All Districts'!L5:L654,"&lt;&gt;No Data Available")</f>
        <v>5</v>
      </c>
      <c r="E24" s="15" t="n">
        <f aca="false">C24-D24</f>
        <v>4</v>
      </c>
      <c r="F24" s="16" t="n">
        <f aca="false">IF(C24=0,0,D24/C24)</f>
        <v>0.555555555555556</v>
      </c>
      <c r="G24" s="17" t="n">
        <f aca="false">IFERROR(AVERAGEIFS('CVI - All Districts'!K5:K654,'CVI - All Districts'!D5:D654,"Manipur",'CVI - All Districts'!L5:L654,"&lt;&gt;No Data Available"),0)</f>
        <v>0.375129150453103</v>
      </c>
      <c r="H24" s="17" t="n">
        <f aca="false">IFERROR(maxifs('CVI - All Districts'!K5:K654,'CVI - All Districts'!D5:D654,"Manipur"),0)</f>
        <v>0</v>
      </c>
      <c r="I24" s="15" t="str">
        <f aca="false">IFERROR(INDEX('CVI - All Districts'!C5:C654,MATCH(maxifs('CVI - All Districts'!K5:K654,'CVI - All Districts'!D5:D654,"Manipur"),'CVI - All Districts'!K5:K654,0)),"—")</f>
        <v>—</v>
      </c>
    </row>
    <row r="25" customFormat="false" ht="15" hidden="false" customHeight="false" outlineLevel="0" collapsed="false">
      <c r="A25" s="13" t="s">
        <v>517</v>
      </c>
      <c r="B25" s="14" t="s">
        <v>16</v>
      </c>
      <c r="C25" s="15" t="n">
        <f aca="false">COUNTIF('CVI - All Districts'!D5:D654,"Meghalaya")</f>
        <v>10</v>
      </c>
      <c r="D25" s="15" t="n">
        <f aca="false">COUNTIFS('CVI - All Districts'!D5:D654,"Meghalaya",'CVI - All Districts'!L5:L654,"&lt;&gt;No Data Available")</f>
        <v>1</v>
      </c>
      <c r="E25" s="15" t="n">
        <f aca="false">C25-D25</f>
        <v>9</v>
      </c>
      <c r="F25" s="16" t="n">
        <f aca="false">IF(C25=0,0,D25/C25)</f>
        <v>0.1</v>
      </c>
      <c r="G25" s="17" t="n">
        <f aca="false">IFERROR(AVERAGEIFS('CVI - All Districts'!K5:K654,'CVI - All Districts'!D5:D654,"Meghalaya",'CVI - All Districts'!L5:L654,"&lt;&gt;No Data Available"),0)</f>
        <v>0</v>
      </c>
      <c r="H25" s="17" t="n">
        <f aca="false">IFERROR(maxifs('CVI - All Districts'!K5:K654,'CVI - All Districts'!D5:D654,"Meghalaya"),0)</f>
        <v>0</v>
      </c>
      <c r="I25" s="15" t="str">
        <f aca="false">IFERROR(INDEX('CVI - All Districts'!C5:C654,MATCH(maxifs('CVI - All Districts'!K5:K654,'CVI - All Districts'!D5:D654,"Meghalaya"),'CVI - All Districts'!K5:K654,0)),"—")</f>
        <v>—</v>
      </c>
    </row>
    <row r="26" customFormat="false" ht="15" hidden="false" customHeight="false" outlineLevel="0" collapsed="false">
      <c r="A26" s="13" t="s">
        <v>401</v>
      </c>
      <c r="B26" s="14" t="s">
        <v>16</v>
      </c>
      <c r="C26" s="15" t="n">
        <f aca="false">COUNTIF('CVI - All Districts'!D5:D654,"Mizoram")</f>
        <v>8</v>
      </c>
      <c r="D26" s="15" t="n">
        <f aca="false">COUNTIFS('CVI - All Districts'!D5:D654,"Mizoram",'CVI - All Districts'!L5:L654,"&lt;&gt;No Data Available")</f>
        <v>1</v>
      </c>
      <c r="E26" s="15" t="n">
        <f aca="false">C26-D26</f>
        <v>7</v>
      </c>
      <c r="F26" s="16" t="n">
        <f aca="false">IF(C26=0,0,D26/C26)</f>
        <v>0.125</v>
      </c>
      <c r="G26" s="17" t="n">
        <f aca="false">IFERROR(AVERAGEIFS('CVI - All Districts'!K5:K654,'CVI - All Districts'!D5:D654,"Mizoram",'CVI - All Districts'!L5:L654,"&lt;&gt;No Data Available"),0)</f>
        <v>0</v>
      </c>
      <c r="H26" s="17" t="n">
        <f aca="false">IFERROR(maxifs('CVI - All Districts'!K5:K654,'CVI - All Districts'!D5:D654,"Mizoram"),0)</f>
        <v>0</v>
      </c>
      <c r="I26" s="15" t="str">
        <f aca="false">IFERROR(INDEX('CVI - All Districts'!C5:C654,MATCH(maxifs('CVI - All Districts'!K5:K654,'CVI - All Districts'!D5:D654,"Mizoram"),'CVI - All Districts'!K5:K654,0)),"—")</f>
        <v>—</v>
      </c>
    </row>
    <row r="27" customFormat="false" ht="15" hidden="false" customHeight="false" outlineLevel="0" collapsed="false">
      <c r="A27" s="13" t="s">
        <v>256</v>
      </c>
      <c r="B27" s="14" t="s">
        <v>60</v>
      </c>
      <c r="C27" s="15" t="n">
        <f aca="false">COUNTIF('CVI - All Districts'!D5:D654,"NCT Delhi")</f>
        <v>9</v>
      </c>
      <c r="D27" s="15" t="n">
        <f aca="false">COUNTIFS('CVI - All Districts'!D5:D654,"NCT Delhi",'CVI - All Districts'!L5:L654,"&lt;&gt;No Data Available")</f>
        <v>1</v>
      </c>
      <c r="E27" s="15" t="n">
        <f aca="false">C27-D27</f>
        <v>8</v>
      </c>
      <c r="F27" s="16" t="n">
        <f aca="false">IF(C27=0,0,D27/C27)</f>
        <v>0.111111111111111</v>
      </c>
      <c r="G27" s="17" t="n">
        <f aca="false">IFERROR(AVERAGEIFS('CVI - All Districts'!K5:K654,'CVI - All Districts'!D5:D654,"NCT Delhi",'CVI - All Districts'!L5:L654,"&lt;&gt;No Data Available"),0)</f>
        <v>0.166666666666667</v>
      </c>
      <c r="H27" s="17" t="n">
        <f aca="false">IFERROR(maxifs('CVI - All Districts'!K5:K654,'CVI - All Districts'!D5:D654,"NCT Delhi"),0)</f>
        <v>0</v>
      </c>
      <c r="I27" s="15" t="str">
        <f aca="false">IFERROR(INDEX('CVI - All Districts'!C5:C654,MATCH(maxifs('CVI - All Districts'!K5:K654,'CVI - All Districts'!D5:D654,"NCT Delhi"),'CVI - All Districts'!K5:K654,0)),"—")</f>
        <v>—</v>
      </c>
    </row>
    <row r="28" customFormat="false" ht="15" hidden="false" customHeight="false" outlineLevel="0" collapsed="false">
      <c r="A28" s="13" t="s">
        <v>199</v>
      </c>
      <c r="B28" s="14" t="s">
        <v>16</v>
      </c>
      <c r="C28" s="15" t="n">
        <f aca="false">COUNTIF('CVI - All Districts'!D5:D654,"Nagaland")</f>
        <v>11</v>
      </c>
      <c r="D28" s="15" t="n">
        <f aca="false">COUNTIFS('CVI - All Districts'!D5:D654,"Nagaland",'CVI - All Districts'!L5:L654,"&lt;&gt;No Data Available")</f>
        <v>2</v>
      </c>
      <c r="E28" s="15" t="n">
        <f aca="false">C28-D28</f>
        <v>9</v>
      </c>
      <c r="F28" s="16" t="n">
        <f aca="false">IF(C28=0,0,D28/C28)</f>
        <v>0.181818181818182</v>
      </c>
      <c r="G28" s="17" t="n">
        <f aca="false">IFERROR(AVERAGEIFS('CVI - All Districts'!K5:K654,'CVI - All Districts'!D5:D654,"Nagaland",'CVI - All Districts'!L5:L654,"&lt;&gt;No Data Available"),0)</f>
        <v>0.290714847259659</v>
      </c>
      <c r="H28" s="17" t="n">
        <f aca="false">IFERROR(maxifs('CVI - All Districts'!K5:K654,'CVI - All Districts'!D5:D654,"Nagaland"),0)</f>
        <v>0</v>
      </c>
      <c r="I28" s="15" t="str">
        <f aca="false">IFERROR(INDEX('CVI - All Districts'!C5:C654,MATCH(maxifs('CVI - All Districts'!K5:K654,'CVI - All Districts'!D5:D654,"Nagaland"),'CVI - All Districts'!K5:K654,0)),"—")</f>
        <v>—</v>
      </c>
    </row>
    <row r="29" customFormat="false" ht="15" hidden="false" customHeight="false" outlineLevel="0" collapsed="false">
      <c r="A29" s="13" t="s">
        <v>19</v>
      </c>
      <c r="B29" s="14" t="s">
        <v>20</v>
      </c>
      <c r="C29" s="15" t="n">
        <f aca="false">COUNTIF('CVI - All Districts'!D5:D654,"Odisha")</f>
        <v>30</v>
      </c>
      <c r="D29" s="15" t="n">
        <f aca="false">COUNTIFS('CVI - All Districts'!D5:D654,"Odisha",'CVI - All Districts'!L5:L654,"&lt;&gt;No Data Available")</f>
        <v>22</v>
      </c>
      <c r="E29" s="15" t="n">
        <f aca="false">C29-D29</f>
        <v>8</v>
      </c>
      <c r="F29" s="16" t="n">
        <f aca="false">IF(C29=0,0,D29/C29)</f>
        <v>0.733333333333333</v>
      </c>
      <c r="G29" s="17" t="n">
        <f aca="false">IFERROR(AVERAGEIFS('CVI - All Districts'!K5:K654,'CVI - All Districts'!D5:D654,"Odisha",'CVI - All Districts'!L5:L654,"&lt;&gt;No Data Available"),0)</f>
        <v>0.293684591621197</v>
      </c>
      <c r="H29" s="17" t="n">
        <f aca="false">IFERROR(maxifs('CVI - All Districts'!K5:K654,'CVI - All Districts'!D5:D654,"Odisha"),0)</f>
        <v>0</v>
      </c>
      <c r="I29" s="15" t="str">
        <f aca="false">IFERROR(INDEX('CVI - All Districts'!C5:C654,MATCH(maxifs('CVI - All Districts'!K5:K654,'CVI - All Districts'!D5:D654,"Odisha"),'CVI - All Districts'!K5:K654,0)),"—")</f>
        <v>—</v>
      </c>
    </row>
    <row r="30" customFormat="false" ht="15" hidden="false" customHeight="false" outlineLevel="0" collapsed="false">
      <c r="A30" s="13" t="s">
        <v>260</v>
      </c>
      <c r="B30" s="14" t="s">
        <v>24</v>
      </c>
      <c r="C30" s="15" t="n">
        <f aca="false">COUNTIF('CVI - All Districts'!D5:D654,"Puducherry")</f>
        <v>4</v>
      </c>
      <c r="D30" s="15" t="n">
        <f aca="false">COUNTIFS('CVI - All Districts'!D5:D654,"Puducherry",'CVI - All Districts'!L5:L654,"&lt;&gt;No Data Available")</f>
        <v>2</v>
      </c>
      <c r="E30" s="15" t="n">
        <f aca="false">C30-D30</f>
        <v>2</v>
      </c>
      <c r="F30" s="16" t="n">
        <f aca="false">IF(C30=0,0,D30/C30)</f>
        <v>0.5</v>
      </c>
      <c r="G30" s="17" t="n">
        <f aca="false">IFERROR(AVERAGEIFS('CVI - All Districts'!K5:K654,'CVI - All Districts'!D5:D654,"Puducherry",'CVI - All Districts'!L5:L654,"&lt;&gt;No Data Available"),0)</f>
        <v>0.0699404761904762</v>
      </c>
      <c r="H30" s="17" t="n">
        <f aca="false">IFERROR(maxifs('CVI - All Districts'!K5:K654,'CVI - All Districts'!D5:D654,"Puducherry"),0)</f>
        <v>0</v>
      </c>
      <c r="I30" s="15" t="str">
        <f aca="false">IFERROR(INDEX('CVI - All Districts'!C5:C654,MATCH(maxifs('CVI - All Districts'!K5:K654,'CVI - All Districts'!D5:D654,"Puducherry"),'CVI - All Districts'!K5:K654,0)),"—")</f>
        <v>—</v>
      </c>
    </row>
    <row r="31" customFormat="false" ht="15" hidden="false" customHeight="false" outlineLevel="0" collapsed="false">
      <c r="A31" s="13" t="s">
        <v>535</v>
      </c>
      <c r="B31" s="14" t="s">
        <v>60</v>
      </c>
      <c r="C31" s="15" t="n">
        <f aca="false">COUNTIF('CVI - All Districts'!D5:D654,"Punjab")</f>
        <v>20</v>
      </c>
      <c r="D31" s="15" t="n">
        <f aca="false">COUNTIFS('CVI - All Districts'!D5:D654,"Punjab",'CVI - All Districts'!L5:L654,"&lt;&gt;No Data Available")</f>
        <v>0</v>
      </c>
      <c r="E31" s="15" t="n">
        <f aca="false">C31-D31</f>
        <v>20</v>
      </c>
      <c r="F31" s="16" t="n">
        <f aca="false">IF(C31=0,0,D31/C31)</f>
        <v>0</v>
      </c>
      <c r="G31" s="17" t="n">
        <f aca="false">IFERROR(AVERAGEIFS('CVI - All Districts'!K5:K654,'CVI - All Districts'!D5:D654,"Punjab",'CVI - All Districts'!L5:L654,"&lt;&gt;No Data Available"),0)</f>
        <v>0</v>
      </c>
      <c r="H31" s="17" t="n">
        <f aca="false">IFERROR(maxifs('CVI - All Districts'!K5:K654,'CVI - All Districts'!D5:D654,"Punjab"),0)</f>
        <v>0</v>
      </c>
      <c r="I31" s="15" t="str">
        <f aca="false">IFERROR(INDEX('CVI - All Districts'!C5:C654,MATCH(maxifs('CVI - All Districts'!K5:K654,'CVI - All Districts'!D5:D654,"Punjab"),'CVI - All Districts'!K5:K654,0)),"—")</f>
        <v>—</v>
      </c>
    </row>
    <row r="32" customFormat="false" ht="15" hidden="false" customHeight="false" outlineLevel="0" collapsed="false">
      <c r="A32" s="13" t="s">
        <v>44</v>
      </c>
      <c r="B32" s="14" t="s">
        <v>30</v>
      </c>
      <c r="C32" s="15" t="n">
        <f aca="false">COUNTIF('CVI - All Districts'!D5:D654,"Rajasthan")</f>
        <v>32</v>
      </c>
      <c r="D32" s="15" t="n">
        <f aca="false">COUNTIFS('CVI - All Districts'!D5:D654,"Rajasthan",'CVI - All Districts'!L5:L654,"&lt;&gt;No Data Available")</f>
        <v>29</v>
      </c>
      <c r="E32" s="15" t="n">
        <f aca="false">C32-D32</f>
        <v>3</v>
      </c>
      <c r="F32" s="16" t="n">
        <f aca="false">IF(C32=0,0,D32/C32)</f>
        <v>0.90625</v>
      </c>
      <c r="G32" s="17" t="n">
        <f aca="false">IFERROR(AVERAGEIFS('CVI - All Districts'!K5:K654,'CVI - All Districts'!D5:D654,"Rajasthan",'CVI - All Districts'!L5:L654,"&lt;&gt;No Data Available"),0)</f>
        <v>0.226056383288505</v>
      </c>
      <c r="H32" s="17" t="n">
        <f aca="false">IFERROR(maxifs('CVI - All Districts'!K5:K654,'CVI - All Districts'!D5:D654,"Rajasthan"),0)</f>
        <v>0</v>
      </c>
      <c r="I32" s="15" t="str">
        <f aca="false">IFERROR(INDEX('CVI - All Districts'!C5:C654,MATCH(maxifs('CVI - All Districts'!K5:K654,'CVI - All Districts'!D5:D654,"Rajasthan"),'CVI - All Districts'!K5:K654,0)),"—")</f>
        <v>—</v>
      </c>
    </row>
    <row r="33" customFormat="false" ht="15" hidden="false" customHeight="false" outlineLevel="0" collapsed="false">
      <c r="A33" s="13" t="s">
        <v>209</v>
      </c>
      <c r="B33" s="14" t="s">
        <v>16</v>
      </c>
      <c r="C33" s="15" t="n">
        <f aca="false">COUNTIF('CVI - All Districts'!D5:D654,"Sikkim")</f>
        <v>4</v>
      </c>
      <c r="D33" s="15" t="n">
        <f aca="false">COUNTIFS('CVI - All Districts'!D5:D654,"Sikkim",'CVI - All Districts'!L5:L654,"&lt;&gt;No Data Available")</f>
        <v>2</v>
      </c>
      <c r="E33" s="15" t="n">
        <f aca="false">C33-D33</f>
        <v>2</v>
      </c>
      <c r="F33" s="16" t="n">
        <f aca="false">IF(C33=0,0,D33/C33)</f>
        <v>0.5</v>
      </c>
      <c r="G33" s="17" t="n">
        <f aca="false">IFERROR(AVERAGEIFS('CVI - All Districts'!K5:K654,'CVI - All Districts'!D5:D654,"Sikkim",'CVI - All Districts'!L5:L654,"&lt;&gt;No Data Available"),0)</f>
        <v>0.404401154401154</v>
      </c>
      <c r="H33" s="17" t="n">
        <f aca="false">IFERROR(maxifs('CVI - All Districts'!K5:K654,'CVI - All Districts'!D5:D654,"Sikkim"),0)</f>
        <v>0</v>
      </c>
      <c r="I33" s="15" t="str">
        <f aca="false">IFERROR(INDEX('CVI - All Districts'!C5:C654,MATCH(maxifs('CVI - All Districts'!K5:K654,'CVI - All Districts'!D5:D654,"Sikkim"),'CVI - All Districts'!K5:K654,0)),"—")</f>
        <v>—</v>
      </c>
    </row>
    <row r="34" customFormat="false" ht="15" hidden="false" customHeight="false" outlineLevel="0" collapsed="false">
      <c r="A34" s="13" t="s">
        <v>36</v>
      </c>
      <c r="B34" s="14" t="s">
        <v>24</v>
      </c>
      <c r="C34" s="15" t="n">
        <f aca="false">COUNTIF('CVI - All Districts'!D5:D654,"Tamil Nadu")</f>
        <v>33</v>
      </c>
      <c r="D34" s="15" t="n">
        <f aca="false">COUNTIFS('CVI - All Districts'!D5:D654,"Tamil Nadu",'CVI - All Districts'!L5:L654,"&lt;&gt;No Data Available")</f>
        <v>33</v>
      </c>
      <c r="E34" s="15" t="n">
        <f aca="false">C34-D34</f>
        <v>0</v>
      </c>
      <c r="F34" s="16" t="n">
        <f aca="false">IF(C34=0,0,D34/C34)</f>
        <v>1</v>
      </c>
      <c r="G34" s="17" t="n">
        <f aca="false">IFERROR(AVERAGEIFS('CVI - All Districts'!K5:K654,'CVI - All Districts'!D5:D654,"Tamil Nadu",'CVI - All Districts'!L5:L654,"&lt;&gt;No Data Available"),0)</f>
        <v>0.187506494687835</v>
      </c>
      <c r="H34" s="17" t="n">
        <f aca="false">IFERROR(maxifs('CVI - All Districts'!K5:K654,'CVI - All Districts'!D5:D654,"Tamil Nadu"),0)</f>
        <v>0</v>
      </c>
      <c r="I34" s="15" t="str">
        <f aca="false">IFERROR(INDEX('CVI - All Districts'!C5:C654,MATCH(maxifs('CVI - All Districts'!K5:K654,'CVI - All Districts'!D5:D654,"Tamil Nadu"),'CVI - All Districts'!K5:K654,0)),"—")</f>
        <v>—</v>
      </c>
    </row>
    <row r="35" customFormat="false" ht="15" hidden="false" customHeight="false" outlineLevel="0" collapsed="false">
      <c r="A35" s="13" t="s">
        <v>23</v>
      </c>
      <c r="B35" s="14" t="s">
        <v>24</v>
      </c>
      <c r="C35" s="15" t="n">
        <f aca="false">COUNTIF('CVI - All Districts'!D5:D654,"Telangana")</f>
        <v>10</v>
      </c>
      <c r="D35" s="15" t="n">
        <f aca="false">COUNTIFS('CVI - All Districts'!D5:D654,"Telangana",'CVI - All Districts'!L5:L654,"&lt;&gt;No Data Available")</f>
        <v>10</v>
      </c>
      <c r="E35" s="15" t="n">
        <f aca="false">C35-D35</f>
        <v>0</v>
      </c>
      <c r="F35" s="16" t="n">
        <f aca="false">IF(C35=0,0,D35/C35)</f>
        <v>1</v>
      </c>
      <c r="G35" s="17" t="n">
        <f aca="false">IFERROR(AVERAGEIFS('CVI - All Districts'!K5:K654,'CVI - All Districts'!D5:D654,"Telangana",'CVI - All Districts'!L5:L654,"&lt;&gt;No Data Available"),0)</f>
        <v>0.312850734410608</v>
      </c>
      <c r="H35" s="17" t="n">
        <f aca="false">IFERROR(maxifs('CVI - All Districts'!K5:K654,'CVI - All Districts'!D5:D654,"Telangana"),0)</f>
        <v>0</v>
      </c>
      <c r="I35" s="15" t="str">
        <f aca="false">IFERROR(INDEX('CVI - All Districts'!C5:C654,MATCH(maxifs('CVI - All Districts'!K5:K654,'CVI - All Districts'!D5:D654,"Telangana"),'CVI - All Districts'!K5:K654,0)),"—")</f>
        <v>—</v>
      </c>
    </row>
    <row r="36" customFormat="false" ht="15" hidden="false" customHeight="false" outlineLevel="0" collapsed="false">
      <c r="A36" s="13" t="s">
        <v>158</v>
      </c>
      <c r="B36" s="14" t="s">
        <v>16</v>
      </c>
      <c r="C36" s="15" t="n">
        <f aca="false">COUNTIF('CVI - All Districts'!D5:D654,"Tripura")</f>
        <v>8</v>
      </c>
      <c r="D36" s="15" t="n">
        <f aca="false">COUNTIFS('CVI - All Districts'!D5:D654,"Tripura",'CVI - All Districts'!L5:L654,"&lt;&gt;No Data Available")</f>
        <v>3</v>
      </c>
      <c r="E36" s="15" t="n">
        <f aca="false">C36-D36</f>
        <v>5</v>
      </c>
      <c r="F36" s="16" t="n">
        <f aca="false">IF(C36=0,0,D36/C36)</f>
        <v>0.375</v>
      </c>
      <c r="G36" s="17" t="n">
        <f aca="false">IFERROR(AVERAGEIFS('CVI - All Districts'!K5:K654,'CVI - All Districts'!D5:D654,"Tripura",'CVI - All Districts'!L5:L654,"&lt;&gt;No Data Available"),0)</f>
        <v>0.218142958790077</v>
      </c>
      <c r="H36" s="17" t="n">
        <f aca="false">IFERROR(maxifs('CVI - All Districts'!K5:K654,'CVI - All Districts'!D5:D654,"Tripura"),0)</f>
        <v>0</v>
      </c>
      <c r="I36" s="15" t="str">
        <f aca="false">IFERROR(INDEX('CVI - All Districts'!C5:C654,MATCH(maxifs('CVI - All Districts'!K5:K654,'CVI - All Districts'!D5:D654,"Tripura"),'CVI - All Districts'!K5:K654,0)),"—")</f>
        <v>—</v>
      </c>
    </row>
    <row r="37" customFormat="false" ht="15" hidden="false" customHeight="false" outlineLevel="0" collapsed="false">
      <c r="A37" s="13" t="s">
        <v>59</v>
      </c>
      <c r="B37" s="14" t="s">
        <v>60</v>
      </c>
      <c r="C37" s="15" t="n">
        <f aca="false">COUNTIF('CVI - All Districts'!D5:D654,"Uttar Pradesh")</f>
        <v>70</v>
      </c>
      <c r="D37" s="15" t="n">
        <f aca="false">COUNTIFS('CVI - All Districts'!D5:D654,"Uttar Pradesh",'CVI - All Districts'!L5:L654,"&lt;&gt;No Data Available")</f>
        <v>65</v>
      </c>
      <c r="E37" s="15" t="n">
        <f aca="false">C37-D37</f>
        <v>5</v>
      </c>
      <c r="F37" s="16" t="n">
        <f aca="false">IF(C37=0,0,D37/C37)</f>
        <v>0.928571428571429</v>
      </c>
      <c r="G37" s="17" t="n">
        <f aca="false">IFERROR(AVERAGEIFS('CVI - All Districts'!K5:K654,'CVI - All Districts'!D5:D654,"Uttar Pradesh",'CVI - All Districts'!L5:L654,"&lt;&gt;No Data Available"),0)</f>
        <v>0.16360901595072</v>
      </c>
      <c r="H37" s="17" t="n">
        <f aca="false">IFERROR(maxifs('CVI - All Districts'!K5:K654,'CVI - All Districts'!D5:D654,"Uttar Pradesh"),0)</f>
        <v>0</v>
      </c>
      <c r="I37" s="15" t="str">
        <f aca="false">IFERROR(INDEX('CVI - All Districts'!C5:C654,MATCH(maxifs('CVI - All Districts'!K5:K654,'CVI - All Districts'!D5:D654,"Uttar Pradesh"),'CVI - All Districts'!K5:K654,0)),"—")</f>
        <v>—</v>
      </c>
    </row>
    <row r="38" customFormat="false" ht="15" hidden="false" customHeight="false" outlineLevel="0" collapsed="false">
      <c r="A38" s="13" t="s">
        <v>201</v>
      </c>
      <c r="B38" s="14" t="s">
        <v>60</v>
      </c>
      <c r="C38" s="15" t="n">
        <f aca="false">COUNTIF('CVI - All Districts'!D5:D654,"Uttarakhand")</f>
        <v>14</v>
      </c>
      <c r="D38" s="15" t="n">
        <f aca="false">COUNTIFS('CVI - All Districts'!D5:D654,"Uttarakhand",'CVI - All Districts'!L5:L654,"&lt;&gt;No Data Available")</f>
        <v>5</v>
      </c>
      <c r="E38" s="15" t="n">
        <f aca="false">C38-D38</f>
        <v>9</v>
      </c>
      <c r="F38" s="16" t="n">
        <f aca="false">IF(C38=0,0,D38/C38)</f>
        <v>0.357142857142857</v>
      </c>
      <c r="G38" s="17" t="n">
        <f aca="false">IFERROR(AVERAGEIFS('CVI - All Districts'!K5:K654,'CVI - All Districts'!D5:D654,"Uttarakhand",'CVI - All Districts'!L5:L654,"&lt;&gt;No Data Available"),0)</f>
        <v>0.0959413580246914</v>
      </c>
      <c r="H38" s="17" t="n">
        <f aca="false">IFERROR(maxifs('CVI - All Districts'!K5:K654,'CVI - All Districts'!D5:D654,"Uttarakhand"),0)</f>
        <v>0</v>
      </c>
      <c r="I38" s="15" t="str">
        <f aca="false">IFERROR(INDEX('CVI - All Districts'!C5:C654,MATCH(maxifs('CVI - All Districts'!K5:K654,'CVI - All Districts'!D5:D654,"Uttarakhand"),'CVI - All Districts'!K5:K654,0)),"—")</f>
        <v>—</v>
      </c>
    </row>
    <row r="39" customFormat="false" ht="15" hidden="false" customHeight="false" outlineLevel="0" collapsed="false">
      <c r="A39" s="13" t="s">
        <v>95</v>
      </c>
      <c r="B39" s="14" t="s">
        <v>20</v>
      </c>
      <c r="C39" s="15" t="n">
        <f aca="false">COUNTIF('CVI - All Districts'!D5:D654,"West Bengal")</f>
        <v>21</v>
      </c>
      <c r="D39" s="15" t="n">
        <f aca="false">COUNTIFS('CVI - All Districts'!D5:D654,"West Bengal",'CVI - All Districts'!L5:L654,"&lt;&gt;No Data Available")</f>
        <v>14</v>
      </c>
      <c r="E39" s="15" t="n">
        <f aca="false">C39-D39</f>
        <v>7</v>
      </c>
      <c r="F39" s="16" t="n">
        <f aca="false">IF(C39=0,0,D39/C39)</f>
        <v>0.666666666666667</v>
      </c>
      <c r="G39" s="17" t="n">
        <f aca="false">IFERROR(AVERAGEIFS('CVI - All Districts'!K5:K654,'CVI - All Districts'!D5:D654,"West Bengal",'CVI - All Districts'!L5:L654,"&lt;&gt;No Data Available"),0)</f>
        <v>0.238120366136037</v>
      </c>
      <c r="H39" s="17" t="n">
        <f aca="false">IFERROR(maxifs('CVI - All Districts'!K5:K654,'CVI - All Districts'!D5:D654,"West Bengal"),0)</f>
        <v>0</v>
      </c>
      <c r="I39" s="15" t="str">
        <f aca="false">IFERROR(INDEX('CVI - All Districts'!C5:C654,MATCH(maxifs('CVI - All Districts'!K5:K654,'CVI - All Districts'!D5:D654,"West Bengal"),'CVI - All Districts'!K5:K654,0)),"—")</f>
        <v>—</v>
      </c>
    </row>
  </sheetData>
  <mergeCells count="1">
    <mergeCell ref="A1:I1"/>
  </mergeCells>
  <conditionalFormatting sqref="F4:F39">
    <cfRule type="cellIs" priority="2" operator="greaterThanOrEqual" aboveAverage="0" equalAverage="0" bottom="0" percent="0" rank="0" text="" dxfId="18">
      <formula>0.7</formula>
    </cfRule>
    <cfRule type="cellIs" priority="3" operator="between" aboveAverage="0" equalAverage="0" bottom="0" percent="0" rank="0" text="" dxfId="19">
      <formula>0.4</formula>
      <formula>0.699</formula>
    </cfRule>
  </conditionalFormatting>
  <conditionalFormatting sqref="G4:G39">
    <cfRule type="cellIs" priority="4" operator="greaterThanOrEqual" aboveAverage="0" equalAverage="0" bottom="0" percent="0" rank="0" text="" dxfId="18">
      <formula>0.5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E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721</v>
      </c>
      <c r="B1" s="1"/>
      <c r="C1" s="1"/>
      <c r="D1" s="1"/>
      <c r="E1" s="1"/>
    </row>
    <row r="3" customFormat="false" ht="15" hidden="false" customHeight="false" outlineLevel="0" collapsed="false">
      <c r="A3" s="18" t="s">
        <v>714</v>
      </c>
      <c r="B3" s="19" t="n">
        <f aca="false">COUNTA('CVI - All Districts'!C5:C654)</f>
        <v>650</v>
      </c>
    </row>
    <row r="4" customFormat="false" ht="15" hidden="false" customHeight="false" outlineLevel="0" collapsed="false">
      <c r="A4" s="18" t="s">
        <v>722</v>
      </c>
      <c r="B4" s="19" t="n">
        <f aca="false">COUNTIF('CVI - All Districts'!L5:L654,"&lt;&gt;No Data Available")</f>
        <v>471</v>
      </c>
    </row>
    <row r="5" customFormat="false" ht="15" hidden="false" customHeight="false" outlineLevel="0" collapsed="false">
      <c r="A5" s="18" t="s">
        <v>723</v>
      </c>
      <c r="B5" s="19" t="n">
        <f aca="false">COUNTIF('CVI - All Districts'!L5:L654,"No Data Available")</f>
        <v>179</v>
      </c>
    </row>
    <row r="6" customFormat="false" ht="15" hidden="false" customHeight="false" outlineLevel="0" collapsed="false">
      <c r="A6" s="18" t="s">
        <v>724</v>
      </c>
      <c r="B6" s="20" t="n">
        <f aca="false">B4/B3</f>
        <v>0.724615384615385</v>
      </c>
    </row>
    <row r="7" customFormat="false" ht="15" hidden="false" customHeight="false" outlineLevel="0" collapsed="false">
      <c r="A7" s="18"/>
    </row>
    <row r="8" customFormat="false" ht="15" hidden="false" customHeight="false" outlineLevel="0" collapsed="false">
      <c r="A8" s="18" t="s">
        <v>725</v>
      </c>
      <c r="B8" s="21" t="n">
        <f aca="false">AVERAGEIFS('CVI - All Districts'!K5:K654,'CVI - All Districts'!L5:L654,"&lt;&gt;No Data Available")</f>
        <v>0.242080981352352</v>
      </c>
    </row>
    <row r="9" customFormat="false" ht="15" hidden="false" customHeight="false" outlineLevel="0" collapsed="false">
      <c r="A9" s="18" t="s">
        <v>719</v>
      </c>
      <c r="B9" s="21" t="n">
        <f aca="false">MAX('CVI - All Districts'!K5:K654)</f>
        <v>1</v>
      </c>
    </row>
    <row r="10" customFormat="false" ht="15" hidden="false" customHeight="false" outlineLevel="0" collapsed="false">
      <c r="A10" s="18" t="s">
        <v>726</v>
      </c>
      <c r="B10" s="21" t="n">
        <f aca="false">MEDIAN('CVI - All Districts'!K5:K654)</f>
        <v>0.174603174603175</v>
      </c>
    </row>
    <row r="11" customFormat="false" ht="15" hidden="false" customHeight="false" outlineLevel="0" collapsed="false">
      <c r="A11" s="18" t="s">
        <v>727</v>
      </c>
      <c r="B11" s="21" t="n">
        <f aca="false">AVERAGEIFS('CVI - All Districts'!G5:G654,'CVI - All Districts'!L5:L654,"&lt;&gt;No Data Available")</f>
        <v>0.413010615711253</v>
      </c>
    </row>
    <row r="12" customFormat="false" ht="15" hidden="false" customHeight="false" outlineLevel="0" collapsed="false">
      <c r="A12" s="18" t="s">
        <v>728</v>
      </c>
      <c r="B12" s="21" t="n">
        <f aca="false">AVERAGEIFS('CVI - All Districts'!H5:H654,'CVI - All Districts'!L5:L654,"&lt;&gt;No Data Available")</f>
        <v>0.594734607218684</v>
      </c>
    </row>
    <row r="13" customFormat="false" ht="15" hidden="false" customHeight="false" outlineLevel="0" collapsed="false">
      <c r="A13" s="18" t="s">
        <v>729</v>
      </c>
      <c r="B13" s="21" t="n">
        <f aca="false">AVERAGEIFS('CVI - All Districts'!I5:I654,'CVI - All Districts'!L5:L654,"&lt;&gt;No Data Available")</f>
        <v>0.437898089171975</v>
      </c>
    </row>
    <row r="16" customFormat="false" ht="15" hidden="false" customHeight="false" outlineLevel="0" collapsed="false">
      <c r="A16" s="22" t="s">
        <v>730</v>
      </c>
    </row>
    <row r="17" customFormat="false" ht="15" hidden="false" customHeight="false" outlineLevel="0" collapsed="false">
      <c r="A17" s="3" t="s">
        <v>731</v>
      </c>
      <c r="B17" s="3" t="s">
        <v>732</v>
      </c>
      <c r="C17" s="3" t="s">
        <v>733</v>
      </c>
      <c r="D17" s="3" t="s">
        <v>734</v>
      </c>
    </row>
    <row r="18" customFormat="false" ht="15" hidden="false" customHeight="false" outlineLevel="0" collapsed="false">
      <c r="A18" s="23" t="s">
        <v>735</v>
      </c>
      <c r="B18" s="24" t="n">
        <f aca="false">COUNTIF('CVI - All Districts'!L5:L654,"Very High")</f>
        <v>45</v>
      </c>
      <c r="C18" s="25" t="n">
        <f aca="false">B18/B3</f>
        <v>0.0692307692307692</v>
      </c>
      <c r="D18" s="25" t="n">
        <f aca="false">IF(B4=0,0,IF("Very High"="No Data Available","—",B18/B4))</f>
        <v>0.0955414012738854</v>
      </c>
    </row>
    <row r="19" customFormat="false" ht="15" hidden="false" customHeight="false" outlineLevel="0" collapsed="false">
      <c r="A19" s="26" t="s">
        <v>736</v>
      </c>
      <c r="B19" s="24" t="n">
        <f aca="false">COUNTIF('CVI - All Districts'!L5:L654,"High")</f>
        <v>72</v>
      </c>
      <c r="C19" s="25" t="n">
        <f aca="false">B19/B3</f>
        <v>0.110769230769231</v>
      </c>
      <c r="D19" s="25" t="n">
        <f aca="false">IF(B4=0,0,IF("High"="No Data Available","—",B19/B4))</f>
        <v>0.152866242038217</v>
      </c>
    </row>
    <row r="20" customFormat="false" ht="15" hidden="false" customHeight="false" outlineLevel="0" collapsed="false">
      <c r="A20" s="27" t="s">
        <v>737</v>
      </c>
      <c r="B20" s="24" t="n">
        <f aca="false">COUNTIF('CVI - All Districts'!L5:L654,"Moderate")</f>
        <v>103</v>
      </c>
      <c r="C20" s="25" t="n">
        <f aca="false">B20/B3</f>
        <v>0.158461538461538</v>
      </c>
      <c r="D20" s="25" t="n">
        <f aca="false">IF(B4=0,0,IF("Moderate"="No Data Available","—",B20/B4))</f>
        <v>0.218683651804671</v>
      </c>
    </row>
    <row r="21" customFormat="false" ht="15" hidden="false" customHeight="false" outlineLevel="0" collapsed="false">
      <c r="A21" s="28" t="s">
        <v>738</v>
      </c>
      <c r="B21" s="24" t="n">
        <f aca="false">COUNTIF('CVI - All Districts'!L5:L654,"Low")</f>
        <v>79</v>
      </c>
      <c r="C21" s="25" t="n">
        <f aca="false">B21/B3</f>
        <v>0.121538461538462</v>
      </c>
      <c r="D21" s="25" t="n">
        <f aca="false">IF(B4=0,0,IF("Low"="No Data Available","—",B21/B4))</f>
        <v>0.167728237791932</v>
      </c>
    </row>
    <row r="22" customFormat="false" ht="15" hidden="false" customHeight="false" outlineLevel="0" collapsed="false">
      <c r="A22" s="29" t="s">
        <v>739</v>
      </c>
      <c r="B22" s="24" t="n">
        <f aca="false">COUNTIF('CVI - All Districts'!L5:L654,"Very Low")</f>
        <v>172</v>
      </c>
      <c r="C22" s="25" t="n">
        <f aca="false">B22/B3</f>
        <v>0.264615384615385</v>
      </c>
      <c r="D22" s="25" t="n">
        <f aca="false">IF(B4=0,0,IF("Very Low"="No Data Available","—",B22/B4))</f>
        <v>0.365180467091295</v>
      </c>
    </row>
    <row r="23" customFormat="false" ht="15" hidden="false" customHeight="false" outlineLevel="0" collapsed="false">
      <c r="A23" s="30" t="s">
        <v>531</v>
      </c>
      <c r="B23" s="24" t="n">
        <f aca="false">COUNTIF('CVI - All Districts'!L5:L654,"No Data Available")</f>
        <v>179</v>
      </c>
      <c r="C23" s="25" t="n">
        <f aca="false">B23/B3</f>
        <v>0.275384615384615</v>
      </c>
      <c r="D23" s="25" t="str">
        <f aca="false">IF(B4=0,0,IF("No Data Available"="No Data Available","—",B23/B4))</f>
        <v>—</v>
      </c>
    </row>
    <row r="26" customFormat="false" ht="15" hidden="false" customHeight="false" outlineLevel="0" collapsed="false">
      <c r="A26" s="22" t="s">
        <v>740</v>
      </c>
    </row>
    <row r="27" customFormat="false" ht="15" hidden="false" customHeight="false" outlineLevel="0" collapsed="false">
      <c r="A27" s="31" t="s">
        <v>741</v>
      </c>
      <c r="B27" s="31" t="s">
        <v>732</v>
      </c>
      <c r="C27" s="31" t="s">
        <v>718</v>
      </c>
    </row>
    <row r="28" customFormat="false" ht="15" hidden="false" customHeight="false" outlineLevel="0" collapsed="false">
      <c r="A28" s="32" t="s">
        <v>17</v>
      </c>
      <c r="B28" s="24" t="n">
        <f aca="false">COUNTIF('CVI - All Districts'!F5:F654,"Flood")</f>
        <v>95</v>
      </c>
      <c r="C28" s="33" t="n">
        <f aca="false">IFERROR(AVERAGEIF('CVI - All Districts'!F5:F654,"Flood",'CVI - All Districts'!K5:K654),0)</f>
        <v>0.328247705843569</v>
      </c>
    </row>
    <row r="29" customFormat="false" ht="15" hidden="false" customHeight="false" outlineLevel="0" collapsed="false">
      <c r="A29" s="32" t="s">
        <v>31</v>
      </c>
      <c r="B29" s="24" t="n">
        <f aca="false">COUNTIF('CVI - All Districts'!F5:F654,"Drought")</f>
        <v>186</v>
      </c>
      <c r="C29" s="33" t="n">
        <f aca="false">IFERROR(AVERAGEIF('CVI - All Districts'!F5:F654,"Drought",'CVI - All Districts'!K5:K654),0)</f>
        <v>0.146481428272881</v>
      </c>
    </row>
    <row r="30" customFormat="false" ht="15" hidden="false" customHeight="false" outlineLevel="0" collapsed="false">
      <c r="A30" s="32" t="s">
        <v>488</v>
      </c>
      <c r="B30" s="24" t="n">
        <f aca="false">COUNTIF('CVI - All Districts'!F5:F654,"Cyclone")</f>
        <v>3</v>
      </c>
      <c r="C30" s="33" t="n">
        <f aca="false">IFERROR(AVERAGEIF('CVI - All Districts'!F5:F654,"Cyclone",'CVI - All Districts'!K5:K654),0)</f>
        <v>0</v>
      </c>
    </row>
    <row r="31" customFormat="false" ht="15" hidden="false" customHeight="false" outlineLevel="0" collapsed="false">
      <c r="A31" s="32" t="s">
        <v>25</v>
      </c>
      <c r="B31" s="24" t="n">
        <f aca="false">COUNTIF('CVI - All Districts'!F5:F654,"Flood &amp; Drought")</f>
        <v>114</v>
      </c>
      <c r="C31" s="33" t="n">
        <f aca="false">IFERROR(AVERAGEIF('CVI - All Districts'!F5:F654,"Flood &amp; Drought",'CVI - All Districts'!K5:K654),0)</f>
        <v>0.291399248079324</v>
      </c>
    </row>
    <row r="32" customFormat="false" ht="15" hidden="false" customHeight="false" outlineLevel="0" collapsed="false">
      <c r="A32" s="32" t="s">
        <v>21</v>
      </c>
      <c r="B32" s="24" t="n">
        <f aca="false">COUNTIF('CVI - All Districts'!F5:F654,"Flood &amp; Cyclone")</f>
        <v>19</v>
      </c>
      <c r="C32" s="33" t="n">
        <f aca="false">IFERROR(AVERAGEIF('CVI - All Districts'!F5:F654,"Flood &amp; Cyclone",'CVI - All Districts'!K5:K654),0)</f>
        <v>0.284157726975957</v>
      </c>
    </row>
    <row r="33" customFormat="false" ht="15" hidden="false" customHeight="false" outlineLevel="0" collapsed="false">
      <c r="A33" s="32" t="s">
        <v>34</v>
      </c>
      <c r="B33" s="24" t="n">
        <f aca="false">COUNTIF('CVI - All Districts'!F5:F654,"Drought &amp; Cyclone")</f>
        <v>12</v>
      </c>
      <c r="C33" s="33" t="n">
        <f aca="false">IFERROR(AVERAGEIF('CVI - All Districts'!F5:F654,"Drought &amp; Cyclone",'CVI - All Districts'!K5:K654),0)</f>
        <v>0.25180275973505</v>
      </c>
    </row>
    <row r="34" customFormat="false" ht="15" hidden="false" customHeight="false" outlineLevel="0" collapsed="false">
      <c r="A34" s="32" t="s">
        <v>27</v>
      </c>
      <c r="B34" s="24" t="n">
        <f aca="false">COUNTIF('CVI - All Districts'!F5:F654,"Flood, Drought &amp; Cyclone")</f>
        <v>42</v>
      </c>
      <c r="C34" s="33" t="n">
        <f aca="false">IFERROR(AVERAGEIF('CVI - All Districts'!F5:F654,"Flood, Drought &amp; Cyclone",'CVI - All Districts'!K5:K654),0)</f>
        <v>0.332164768872773</v>
      </c>
    </row>
    <row r="37" customFormat="false" ht="15" hidden="false" customHeight="false" outlineLevel="0" collapsed="false">
      <c r="A37" s="22" t="s">
        <v>742</v>
      </c>
    </row>
    <row r="38" customFormat="false" ht="15" hidden="false" customHeight="false" outlineLevel="0" collapsed="false">
      <c r="A38" s="31" t="s">
        <v>6</v>
      </c>
      <c r="B38" s="31" t="s">
        <v>743</v>
      </c>
      <c r="C38" s="31" t="s">
        <v>744</v>
      </c>
      <c r="D38" s="31" t="s">
        <v>532</v>
      </c>
      <c r="E38" s="31" t="s">
        <v>745</v>
      </c>
    </row>
    <row r="39" customFormat="false" ht="15" hidden="false" customHeight="false" outlineLevel="0" collapsed="false">
      <c r="A39" s="34" t="s">
        <v>60</v>
      </c>
      <c r="B39" s="24" t="n">
        <f aca="false">COUNTIF('CVI - All Districts'!E5:E654,"North")</f>
        <v>169</v>
      </c>
      <c r="C39" s="24" t="n">
        <f aca="false">COUNTIFS('CVI - All Districts'!E5:E654,"North",'CVI - All Districts'!L5:L654,"&lt;&gt;No Data Available")</f>
        <v>99</v>
      </c>
      <c r="D39" s="24" t="n">
        <f aca="false">B39-C39</f>
        <v>70</v>
      </c>
      <c r="E39" s="33" t="n">
        <f aca="false">IFERROR(AVERAGEIFS('CVI - All Districts'!K5:K654,'CVI - All Districts'!E5:E654,"North",'CVI - All Districts'!L5:L654,"&lt;&gt;No Data Available"),0)</f>
        <v>0.17381257425897</v>
      </c>
    </row>
    <row r="40" customFormat="false" ht="15" hidden="false" customHeight="false" outlineLevel="0" collapsed="false">
      <c r="A40" s="34" t="s">
        <v>24</v>
      </c>
      <c r="B40" s="24" t="n">
        <f aca="false">COUNTIF('CVI - All Districts'!E5:E654,"South")</f>
        <v>103</v>
      </c>
      <c r="C40" s="24" t="n">
        <f aca="false">COUNTIFS('CVI - All Districts'!E5:E654,"South",'CVI - All Districts'!L5:L654,"&lt;&gt;No Data Available")</f>
        <v>101</v>
      </c>
      <c r="D40" s="24" t="n">
        <f aca="false">B40-C40</f>
        <v>2</v>
      </c>
      <c r="E40" s="33" t="n">
        <f aca="false">IFERROR(AVERAGEIFS('CVI - All Districts'!K5:K654,'CVI - All Districts'!E5:E654,"South",'CVI - All Districts'!L5:L654,"&lt;&gt;No Data Available"),0)</f>
        <v>0.256796951815174</v>
      </c>
    </row>
    <row r="41" customFormat="false" ht="15" hidden="false" customHeight="false" outlineLevel="0" collapsed="false">
      <c r="A41" s="34" t="s">
        <v>20</v>
      </c>
      <c r="B41" s="24" t="n">
        <f aca="false">COUNTIF('CVI - All Districts'!E5:E654,"East")</f>
        <v>114</v>
      </c>
      <c r="C41" s="24" t="n">
        <f aca="false">COUNTIFS('CVI - All Districts'!E5:E654,"East",'CVI - All Districts'!L5:L654,"&lt;&gt;No Data Available")</f>
        <v>93</v>
      </c>
      <c r="D41" s="24" t="n">
        <f aca="false">B41-C41</f>
        <v>21</v>
      </c>
      <c r="E41" s="33" t="n">
        <f aca="false">IFERROR(AVERAGEIFS('CVI - All Districts'!K5:K654,'CVI - All Districts'!E5:E654,"East",'CVI - All Districts'!L5:L654,"&lt;&gt;No Data Available"),0)</f>
        <v>0.270153370820915</v>
      </c>
    </row>
    <row r="42" customFormat="false" ht="15" hidden="false" customHeight="false" outlineLevel="0" collapsed="false">
      <c r="A42" s="34" t="s">
        <v>30</v>
      </c>
      <c r="B42" s="24" t="n">
        <f aca="false">COUNTIF('CVI - All Districts'!E5:E654,"West")</f>
        <v>99</v>
      </c>
      <c r="C42" s="24" t="n">
        <f aca="false">COUNTIFS('CVI - All Districts'!E5:E654,"West",'CVI - All Districts'!L5:L654,"&lt;&gt;No Data Available")</f>
        <v>85</v>
      </c>
      <c r="D42" s="24" t="n">
        <f aca="false">B42-C42</f>
        <v>14</v>
      </c>
      <c r="E42" s="33" t="n">
        <f aca="false">IFERROR(AVERAGEIFS('CVI - All Districts'!K5:K654,'CVI - All Districts'!E5:E654,"West",'CVI - All Districts'!L5:L654,"&lt;&gt;No Data Available"),0)</f>
        <v>0.249649256702613</v>
      </c>
    </row>
    <row r="43" customFormat="false" ht="15" hidden="false" customHeight="false" outlineLevel="0" collapsed="false">
      <c r="A43" s="34" t="s">
        <v>87</v>
      </c>
      <c r="B43" s="24" t="n">
        <f aca="false">COUNTIF('CVI - All Districts'!E5:E654,"Central")</f>
        <v>68</v>
      </c>
      <c r="C43" s="24" t="n">
        <f aca="false">COUNTIFS('CVI - All Districts'!E5:E654,"Central",'CVI - All Districts'!L5:L654,"&lt;&gt;No Data Available")</f>
        <v>50</v>
      </c>
      <c r="D43" s="24" t="n">
        <f aca="false">B43-C43</f>
        <v>18</v>
      </c>
      <c r="E43" s="33" t="n">
        <f aca="false">IFERROR(AVERAGEIFS('CVI - All Districts'!K5:K654,'CVI - All Districts'!E5:E654,"Central",'CVI - All Districts'!L5:L654,"&lt;&gt;No Data Available"),0)</f>
        <v>0.102043859587854</v>
      </c>
    </row>
    <row r="44" customFormat="false" ht="15" hidden="false" customHeight="false" outlineLevel="0" collapsed="false">
      <c r="A44" s="34" t="s">
        <v>16</v>
      </c>
      <c r="B44" s="24" t="n">
        <f aca="false">COUNTIF('CVI - All Districts'!E5:E654,"North-East")</f>
        <v>93</v>
      </c>
      <c r="C44" s="24" t="n">
        <f aca="false">COUNTIFS('CVI - All Districts'!E5:E654,"North-East",'CVI - All Districts'!L5:L654,"&lt;&gt;No Data Available")</f>
        <v>41</v>
      </c>
      <c r="D44" s="24" t="n">
        <f aca="false">B44-C44</f>
        <v>52</v>
      </c>
      <c r="E44" s="33" t="n">
        <f aca="false">IFERROR(AVERAGEIFS('CVI - All Districts'!K5:K654,'CVI - All Districts'!E5:E654,"North-East",'CVI - All Districts'!L5:L654,"&lt;&gt;No Data Available"),0)</f>
        <v>0.473891754793356</v>
      </c>
    </row>
    <row r="45" customFormat="false" ht="15" hidden="false" customHeight="false" outlineLevel="0" collapsed="false">
      <c r="A45" s="34" t="s">
        <v>487</v>
      </c>
      <c r="B45" s="24" t="n">
        <f aca="false">COUNTIF('CVI - All Districts'!E5:E654,"Island")</f>
        <v>4</v>
      </c>
      <c r="C45" s="24" t="n">
        <f aca="false">COUNTIFS('CVI - All Districts'!E5:E654,"Island",'CVI - All Districts'!L5:L654,"&lt;&gt;No Data Available")</f>
        <v>2</v>
      </c>
      <c r="D45" s="24" t="n">
        <f aca="false">B45-C45</f>
        <v>2</v>
      </c>
      <c r="E45" s="33" t="n">
        <f aca="false">IFERROR(AVERAGEIFS('CVI - All Districts'!K5:K654,'CVI - All Districts'!E5:E654,"Island",'CVI - All Districts'!L5:L654,"&lt;&gt;No Data Available"),0)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B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746</v>
      </c>
      <c r="B1" s="1"/>
    </row>
    <row r="3" customFormat="false" ht="15" hidden="false" customHeight="false" outlineLevel="0" collapsed="false">
      <c r="A3" s="35" t="s">
        <v>747</v>
      </c>
      <c r="B3" s="36"/>
    </row>
    <row r="4" customFormat="false" ht="15" hidden="false" customHeight="false" outlineLevel="0" collapsed="false">
      <c r="A4" s="18" t="s">
        <v>748</v>
      </c>
      <c r="B4" s="37" t="s">
        <v>749</v>
      </c>
    </row>
    <row r="5" customFormat="false" ht="15" hidden="false" customHeight="false" outlineLevel="0" collapsed="false">
      <c r="A5" s="18" t="s">
        <v>12</v>
      </c>
      <c r="B5" s="37" t="s">
        <v>750</v>
      </c>
    </row>
    <row r="6" customFormat="false" ht="15" hidden="false" customHeight="false" outlineLevel="0" collapsed="false">
      <c r="A6" s="18"/>
      <c r="B6" s="37"/>
    </row>
    <row r="7" customFormat="false" ht="15" hidden="false" customHeight="false" outlineLevel="0" collapsed="false">
      <c r="A7" s="35" t="s">
        <v>751</v>
      </c>
      <c r="B7" s="36"/>
    </row>
    <row r="8" customFormat="false" ht="15" hidden="false" customHeight="false" outlineLevel="0" collapsed="false">
      <c r="A8" s="18" t="s">
        <v>752</v>
      </c>
      <c r="B8" s="37" t="s">
        <v>753</v>
      </c>
    </row>
    <row r="9" customFormat="false" ht="15" hidden="false" customHeight="false" outlineLevel="0" collapsed="false">
      <c r="A9" s="18" t="s">
        <v>754</v>
      </c>
      <c r="B9" s="37" t="s">
        <v>755</v>
      </c>
    </row>
    <row r="10" customFormat="false" ht="15" hidden="false" customHeight="false" outlineLevel="0" collapsed="false">
      <c r="A10" s="18" t="s">
        <v>756</v>
      </c>
      <c r="B10" s="37" t="s">
        <v>757</v>
      </c>
    </row>
    <row r="11" customFormat="false" ht="15" hidden="false" customHeight="false" outlineLevel="0" collapsed="false">
      <c r="A11" s="18" t="s">
        <v>758</v>
      </c>
      <c r="B11" s="37" t="s">
        <v>759</v>
      </c>
    </row>
    <row r="12" customFormat="false" ht="15" hidden="false" customHeight="false" outlineLevel="0" collapsed="false">
      <c r="A12" s="18"/>
      <c r="B12" s="37"/>
    </row>
    <row r="13" customFormat="false" ht="15" hidden="false" customHeight="false" outlineLevel="0" collapsed="false">
      <c r="A13" s="35" t="s">
        <v>760</v>
      </c>
      <c r="B13" s="36"/>
    </row>
    <row r="14" customFormat="false" ht="15" hidden="false" customHeight="false" outlineLevel="0" collapsed="false">
      <c r="A14" s="18" t="s">
        <v>761</v>
      </c>
      <c r="B14" s="37" t="s">
        <v>762</v>
      </c>
    </row>
    <row r="15" customFormat="false" ht="15" hidden="false" customHeight="false" outlineLevel="0" collapsed="false">
      <c r="A15" s="18" t="s">
        <v>763</v>
      </c>
      <c r="B15" s="37" t="s">
        <v>764</v>
      </c>
    </row>
    <row r="16" customFormat="false" ht="15" hidden="false" customHeight="false" outlineLevel="0" collapsed="false">
      <c r="A16" s="18" t="s">
        <v>765</v>
      </c>
      <c r="B16" s="37" t="s">
        <v>766</v>
      </c>
    </row>
    <row r="17" customFormat="false" ht="15" hidden="false" customHeight="false" outlineLevel="0" collapsed="false">
      <c r="A17" s="18" t="s">
        <v>767</v>
      </c>
      <c r="B17" s="37" t="s">
        <v>768</v>
      </c>
    </row>
    <row r="18" customFormat="false" ht="15" hidden="false" customHeight="false" outlineLevel="0" collapsed="false">
      <c r="A18" s="18"/>
      <c r="B18" s="37"/>
    </row>
    <row r="19" customFormat="false" ht="15" hidden="false" customHeight="false" outlineLevel="0" collapsed="false">
      <c r="A19" s="35" t="s">
        <v>769</v>
      </c>
      <c r="B19" s="36"/>
    </row>
    <row r="20" customFormat="false" ht="15" hidden="false" customHeight="false" outlineLevel="0" collapsed="false">
      <c r="A20" s="18" t="s">
        <v>770</v>
      </c>
      <c r="B20" s="37" t="s">
        <v>771</v>
      </c>
    </row>
    <row r="21" customFormat="false" ht="15" hidden="false" customHeight="false" outlineLevel="0" collapsed="false">
      <c r="A21" s="18" t="s">
        <v>772</v>
      </c>
      <c r="B21" s="37" t="s">
        <v>773</v>
      </c>
    </row>
    <row r="22" customFormat="false" ht="15" hidden="false" customHeight="false" outlineLevel="0" collapsed="false">
      <c r="A22" s="18" t="s">
        <v>774</v>
      </c>
      <c r="B22" s="37" t="s">
        <v>775</v>
      </c>
    </row>
    <row r="23" customFormat="false" ht="15" hidden="false" customHeight="false" outlineLevel="0" collapsed="false">
      <c r="A23" s="18" t="s">
        <v>776</v>
      </c>
      <c r="B23" s="37" t="s">
        <v>777</v>
      </c>
    </row>
    <row r="24" customFormat="false" ht="15" hidden="false" customHeight="false" outlineLevel="0" collapsed="false">
      <c r="A24" s="18" t="s">
        <v>778</v>
      </c>
      <c r="B24" s="37" t="s">
        <v>779</v>
      </c>
    </row>
    <row r="25" customFormat="false" ht="15" hidden="false" customHeight="false" outlineLevel="0" collapsed="false">
      <c r="A25" s="18" t="s">
        <v>780</v>
      </c>
      <c r="B25" s="37" t="s">
        <v>781</v>
      </c>
    </row>
    <row r="26" customFormat="false" ht="15" hidden="false" customHeight="false" outlineLevel="0" collapsed="false">
      <c r="A26" s="18" t="s">
        <v>782</v>
      </c>
      <c r="B26" s="37" t="s">
        <v>783</v>
      </c>
    </row>
    <row r="27" customFormat="false" ht="15" hidden="false" customHeight="false" outlineLevel="0" collapsed="false">
      <c r="A27" s="18"/>
      <c r="B27" s="37"/>
    </row>
    <row r="28" customFormat="false" ht="15" hidden="false" customHeight="false" outlineLevel="0" collapsed="false">
      <c r="A28" s="35" t="s">
        <v>784</v>
      </c>
      <c r="B28" s="36"/>
    </row>
    <row r="29" customFormat="false" ht="15" hidden="false" customHeight="false" outlineLevel="0" collapsed="false">
      <c r="A29" s="18" t="s">
        <v>735</v>
      </c>
      <c r="B29" s="37" t="s">
        <v>785</v>
      </c>
    </row>
    <row r="30" customFormat="false" ht="15" hidden="false" customHeight="false" outlineLevel="0" collapsed="false">
      <c r="A30" s="18" t="s">
        <v>736</v>
      </c>
      <c r="B30" s="37" t="s">
        <v>786</v>
      </c>
    </row>
    <row r="31" customFormat="false" ht="15" hidden="false" customHeight="false" outlineLevel="0" collapsed="false">
      <c r="A31" s="18" t="s">
        <v>737</v>
      </c>
      <c r="B31" s="37" t="s">
        <v>787</v>
      </c>
    </row>
    <row r="32" customFormat="false" ht="15" hidden="false" customHeight="false" outlineLevel="0" collapsed="false">
      <c r="A32" s="18" t="s">
        <v>738</v>
      </c>
      <c r="B32" s="37" t="s">
        <v>788</v>
      </c>
    </row>
    <row r="33" customFormat="false" ht="15" hidden="false" customHeight="false" outlineLevel="0" collapsed="false">
      <c r="A33" s="18" t="s">
        <v>739</v>
      </c>
      <c r="B33" s="37" t="s">
        <v>789</v>
      </c>
    </row>
    <row r="34" customFormat="false" ht="15" hidden="false" customHeight="false" outlineLevel="0" collapsed="false">
      <c r="A34" s="18" t="s">
        <v>531</v>
      </c>
      <c r="B34" s="37" t="s">
        <v>790</v>
      </c>
    </row>
    <row r="35" customFormat="false" ht="15" hidden="false" customHeight="false" outlineLevel="0" collapsed="false">
      <c r="A35" s="18"/>
      <c r="B35" s="37"/>
    </row>
    <row r="36" customFormat="false" ht="15" hidden="false" customHeight="false" outlineLevel="0" collapsed="false">
      <c r="A36" s="35" t="s">
        <v>791</v>
      </c>
      <c r="B36" s="36"/>
    </row>
    <row r="37" customFormat="false" ht="15" hidden="false" customHeight="false" outlineLevel="0" collapsed="false">
      <c r="A37" s="18" t="s">
        <v>792</v>
      </c>
      <c r="B37" s="37" t="s">
        <v>793</v>
      </c>
    </row>
    <row r="38" customFormat="false" ht="15" hidden="false" customHeight="false" outlineLevel="0" collapsed="false">
      <c r="A38" s="18" t="s">
        <v>794</v>
      </c>
      <c r="B38" s="37" t="s">
        <v>795</v>
      </c>
    </row>
    <row r="39" customFormat="false" ht="15" hidden="false" customHeight="false" outlineLevel="0" collapsed="false">
      <c r="A39" s="18" t="s">
        <v>796</v>
      </c>
      <c r="B39" s="37" t="s">
        <v>797</v>
      </c>
    </row>
    <row r="40" customFormat="false" ht="15" hidden="false" customHeight="false" outlineLevel="0" collapsed="false">
      <c r="A40" s="18"/>
      <c r="B40" s="37"/>
    </row>
    <row r="41" customFormat="false" ht="15" hidden="false" customHeight="false" outlineLevel="0" collapsed="false">
      <c r="A41" s="35" t="s">
        <v>798</v>
      </c>
      <c r="B41" s="36"/>
    </row>
    <row r="42" customFormat="false" ht="15" hidden="false" customHeight="false" outlineLevel="0" collapsed="false">
      <c r="A42" s="18" t="s">
        <v>799</v>
      </c>
      <c r="B42" s="37" t="s">
        <v>800</v>
      </c>
    </row>
    <row r="43" customFormat="false" ht="15" hidden="false" customHeight="false" outlineLevel="0" collapsed="false">
      <c r="A43" s="18" t="s">
        <v>801</v>
      </c>
      <c r="B43" s="37" t="s">
        <v>802</v>
      </c>
    </row>
    <row r="44" customFormat="false" ht="15" hidden="false" customHeight="false" outlineLevel="0" collapsed="false">
      <c r="A44" s="18" t="s">
        <v>803</v>
      </c>
      <c r="B44" s="37" t="s">
        <v>804</v>
      </c>
    </row>
    <row r="45" customFormat="false" ht="15" hidden="false" customHeight="false" outlineLevel="0" collapsed="false">
      <c r="A45" s="18" t="s">
        <v>805</v>
      </c>
      <c r="B45" s="37" t="s">
        <v>806</v>
      </c>
    </row>
    <row r="46" customFormat="false" ht="15" hidden="false" customHeight="false" outlineLevel="0" collapsed="false">
      <c r="A46" s="18" t="s">
        <v>807</v>
      </c>
      <c r="B46" s="37" t="s">
        <v>808</v>
      </c>
    </row>
    <row r="47" customFormat="false" ht="15" hidden="false" customHeight="false" outlineLevel="0" collapsed="false">
      <c r="A47" s="18" t="s">
        <v>809</v>
      </c>
      <c r="B47" s="37" t="s">
        <v>810</v>
      </c>
    </row>
    <row r="48" customFormat="false" ht="15" hidden="false" customHeight="false" outlineLevel="0" collapsed="false">
      <c r="A48" s="18" t="s">
        <v>811</v>
      </c>
      <c r="B48" s="37" t="s">
        <v>812</v>
      </c>
    </row>
    <row r="49" customFormat="false" ht="15" hidden="false" customHeight="false" outlineLevel="0" collapsed="false">
      <c r="A49" s="18" t="s">
        <v>813</v>
      </c>
      <c r="B49" s="37" t="s">
        <v>814</v>
      </c>
    </row>
    <row r="50" customFormat="false" ht="15" hidden="false" customHeight="false" outlineLevel="0" collapsed="false">
      <c r="A50" s="18"/>
      <c r="B50" s="37"/>
    </row>
    <row r="51" customFormat="false" ht="15" hidden="false" customHeight="false" outlineLevel="0" collapsed="false">
      <c r="A51" s="35" t="s">
        <v>815</v>
      </c>
      <c r="B51" s="36"/>
    </row>
    <row r="52" customFormat="false" ht="15" hidden="false" customHeight="false" outlineLevel="0" collapsed="false">
      <c r="A52" s="18" t="s">
        <v>816</v>
      </c>
      <c r="B52" s="37" t="s">
        <v>817</v>
      </c>
    </row>
    <row r="53" customFormat="false" ht="15" hidden="false" customHeight="false" outlineLevel="0" collapsed="false">
      <c r="A53" s="18" t="s">
        <v>818</v>
      </c>
      <c r="B53" s="37" t="s">
        <v>819</v>
      </c>
    </row>
    <row r="54" customFormat="false" ht="15" hidden="false" customHeight="false" outlineLevel="0" collapsed="false">
      <c r="A54" s="18" t="s">
        <v>820</v>
      </c>
      <c r="B54" s="37" t="s">
        <v>821</v>
      </c>
    </row>
    <row r="55" customFormat="false" ht="15" hidden="false" customHeight="false" outlineLevel="0" collapsed="false">
      <c r="A55" s="18" t="s">
        <v>822</v>
      </c>
      <c r="B55" s="37" t="s">
        <v>823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2026-03-26T19:55:05Z</dcterms:created>
  <dc:creator>openpyxl</dc:creator>
  <dc:description/>
  <dc:language>en-US</dc:language>
  <cp:lastModifiedBy/>
  <dcterms:modified xsi:type="dcterms:W3CDTF">2026-03-26T19:55:05Z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